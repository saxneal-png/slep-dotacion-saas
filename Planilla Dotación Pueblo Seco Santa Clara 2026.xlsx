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lepvallediguillingobcl-my.sharepoint.com/personal/dionicio_flores_slepvallediguillin_gob_cl/Documents/Documentos/Dotación/"/>
    </mc:Choice>
  </mc:AlternateContent>
  <xr:revisionPtr revIDLastSave="464" documentId="8_{2F598010-5711-4667-83EA-79066B6E7A66}" xr6:coauthVersionLast="47" xr6:coauthVersionMax="47" xr10:uidLastSave="{0F9573E7-E54C-41A4-8A62-8B4C5F65E258}"/>
  <bookViews>
    <workbookView xWindow="-120" yWindow="-120" windowWidth="29040" windowHeight="17520" xr2:uid="{0E74C354-B4E9-443B-A314-12019D8E539B}"/>
  </bookViews>
  <sheets>
    <sheet name="Docentes" sheetId="1" r:id="rId1"/>
    <sheet name="Asisten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01" i="1" l="1"/>
  <c r="E210" i="1"/>
  <c r="V192" i="1"/>
  <c r="W192" i="1"/>
  <c r="T183" i="1"/>
  <c r="U183" i="1" s="1"/>
  <c r="T184" i="1"/>
  <c r="U184" i="1" s="1"/>
  <c r="T185" i="1"/>
  <c r="U185" i="1" s="1"/>
  <c r="T182" i="1"/>
  <c r="U182" i="1" s="1"/>
  <c r="U192" i="1" s="1"/>
  <c r="X192" i="1" s="1"/>
  <c r="T173" i="1"/>
  <c r="U173" i="1" s="1"/>
  <c r="T174" i="1"/>
  <c r="U174" i="1" s="1"/>
  <c r="T172" i="1"/>
  <c r="U172" i="1" s="1"/>
  <c r="U180" i="1" s="1"/>
  <c r="X180" i="1" s="1"/>
  <c r="T133" i="1"/>
  <c r="U133" i="1" s="1"/>
  <c r="T132" i="1"/>
  <c r="U132" i="1" s="1"/>
  <c r="U139" i="1" s="1"/>
  <c r="X139" i="1" s="1"/>
  <c r="V130" i="1"/>
  <c r="W130" i="1"/>
  <c r="T120" i="1"/>
  <c r="U120" i="1" s="1"/>
  <c r="T121" i="1"/>
  <c r="U121" i="1" s="1"/>
  <c r="T122" i="1"/>
  <c r="U122" i="1" s="1"/>
  <c r="T123" i="1"/>
  <c r="U123" i="1" s="1"/>
  <c r="T119" i="1"/>
  <c r="U119" i="1" s="1"/>
  <c r="U130" i="1" s="1"/>
  <c r="X130" i="1" s="1"/>
  <c r="U112" i="1"/>
  <c r="T110" i="1"/>
  <c r="U110" i="1" s="1"/>
  <c r="V108" i="1"/>
  <c r="W108" i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97" i="1"/>
  <c r="U97" i="1" s="1"/>
  <c r="T98" i="1"/>
  <c r="U98" i="1" s="1"/>
  <c r="T99" i="1"/>
  <c r="U99" i="1" s="1"/>
  <c r="T100" i="1"/>
  <c r="U100" i="1" s="1"/>
  <c r="T101" i="1"/>
  <c r="T96" i="1"/>
  <c r="U96" i="1" s="1"/>
  <c r="U108" i="1" s="1"/>
  <c r="U90" i="1"/>
  <c r="U92" i="1"/>
  <c r="T88" i="1"/>
  <c r="U88" i="1" s="1"/>
  <c r="U94" i="1" s="1"/>
  <c r="X94" i="1" s="1"/>
  <c r="V86" i="1"/>
  <c r="W86" i="1"/>
  <c r="U80" i="1"/>
  <c r="U83" i="1"/>
  <c r="U85" i="1"/>
  <c r="T75" i="1"/>
  <c r="U75" i="1" s="1"/>
  <c r="T76" i="1"/>
  <c r="U76" i="1" s="1"/>
  <c r="T77" i="1"/>
  <c r="U77" i="1" s="1"/>
  <c r="T78" i="1"/>
  <c r="U78" i="1" s="1"/>
  <c r="T79" i="1"/>
  <c r="U79" i="1" s="1"/>
  <c r="T74" i="1"/>
  <c r="U74" i="1" s="1"/>
  <c r="U86" i="1" s="1"/>
  <c r="X86" i="1" s="1"/>
  <c r="X204" i="1" s="1"/>
  <c r="V72" i="1"/>
  <c r="W72" i="1"/>
  <c r="U67" i="1"/>
  <c r="U72" i="1" s="1"/>
  <c r="X72" i="1" s="1"/>
  <c r="V65" i="1"/>
  <c r="W65" i="1"/>
  <c r="U60" i="1"/>
  <c r="U65" i="1" s="1"/>
  <c r="X65" i="1" s="1"/>
  <c r="T157" i="1"/>
  <c r="U157" i="1" s="1"/>
  <c r="T158" i="1"/>
  <c r="U158" i="1" s="1"/>
  <c r="T159" i="1"/>
  <c r="U159" i="1" s="1"/>
  <c r="T160" i="1"/>
  <c r="U160" i="1" s="1"/>
  <c r="T161" i="1"/>
  <c r="U161" i="1" s="1"/>
  <c r="V58" i="1"/>
  <c r="W58" i="1"/>
  <c r="T49" i="1"/>
  <c r="U49" i="1" s="1"/>
  <c r="T50" i="1"/>
  <c r="U50" i="1" s="1"/>
  <c r="T51" i="1"/>
  <c r="U51" i="1" s="1"/>
  <c r="T48" i="1"/>
  <c r="U48" i="1" s="1"/>
  <c r="U58" i="1" s="1"/>
  <c r="X58" i="1" s="1"/>
  <c r="V46" i="1"/>
  <c r="W46" i="1"/>
  <c r="T16" i="1"/>
  <c r="T17" i="1"/>
  <c r="T18" i="1"/>
  <c r="T19" i="1"/>
  <c r="T20" i="1"/>
  <c r="T21" i="1"/>
  <c r="T22" i="1"/>
  <c r="T15" i="1"/>
  <c r="U41" i="1"/>
  <c r="T38" i="1"/>
  <c r="U38" i="1" s="1"/>
  <c r="T39" i="1"/>
  <c r="U39" i="1" s="1"/>
  <c r="T40" i="1"/>
  <c r="U40" i="1" s="1"/>
  <c r="T37" i="1"/>
  <c r="U37" i="1" s="1"/>
  <c r="U46" i="1" s="1"/>
  <c r="X46" i="1" s="1"/>
  <c r="V35" i="1"/>
  <c r="W35" i="1"/>
  <c r="U31" i="1"/>
  <c r="U33" i="1"/>
  <c r="U30" i="1"/>
  <c r="U35" i="1" s="1"/>
  <c r="X35" i="1" s="1"/>
  <c r="V28" i="1"/>
  <c r="W28" i="1"/>
  <c r="U16" i="1"/>
  <c r="U17" i="1"/>
  <c r="U18" i="1"/>
  <c r="U19" i="1"/>
  <c r="U20" i="1"/>
  <c r="U21" i="1"/>
  <c r="U22" i="1"/>
  <c r="U15" i="1"/>
  <c r="U28" i="1" s="1"/>
  <c r="X28" i="1" s="1"/>
  <c r="U7" i="1"/>
  <c r="U6" i="1"/>
  <c r="U5" i="1"/>
  <c r="U13" i="1" s="1"/>
  <c r="X13" i="1" s="1"/>
  <c r="T162" i="1"/>
  <c r="Y41" i="1"/>
  <c r="K27" i="2"/>
  <c r="J27" i="2"/>
  <c r="I27" i="2"/>
  <c r="H27" i="2"/>
  <c r="G27" i="2"/>
  <c r="F27" i="2"/>
  <c r="E27" i="2"/>
  <c r="D27" i="2"/>
  <c r="U152" i="1" l="1"/>
  <c r="X152" i="1" s="1"/>
  <c r="U117" i="1"/>
  <c r="X117" i="1" s="1"/>
  <c r="X108" i="1"/>
  <c r="U167" i="1"/>
  <c r="X167" i="1" s="1"/>
</calcChain>
</file>

<file path=xl/sharedStrings.xml><?xml version="1.0" encoding="utf-8"?>
<sst xmlns="http://schemas.openxmlformats.org/spreadsheetml/2006/main" count="361" uniqueCount="179">
  <si>
    <t xml:space="preserve">HORAS CURSOS </t>
  </si>
  <si>
    <t>NOMBRES</t>
  </si>
  <si>
    <t>RUN</t>
  </si>
  <si>
    <t>HORAS CONTRATO</t>
  </si>
  <si>
    <t>TITULARES SUB GRAL</t>
  </si>
  <si>
    <t>CONTRATA SUB GRAL</t>
  </si>
  <si>
    <t>TITULARES SEP</t>
  </si>
  <si>
    <t>CONTRATA SEP</t>
  </si>
  <si>
    <t>TITULARES PIE</t>
  </si>
  <si>
    <t>CONTRATA PIE</t>
  </si>
  <si>
    <t>PK</t>
  </si>
  <si>
    <t>K</t>
  </si>
  <si>
    <t xml:space="preserve">TOTAL HA* </t>
  </si>
  <si>
    <t>TOTAL HC** Sub. Gral</t>
  </si>
  <si>
    <t>TOTAL HC** Sub. SEP</t>
  </si>
  <si>
    <t>TOTAL HC** Sub. PIE</t>
  </si>
  <si>
    <t>TOTAL HC</t>
  </si>
  <si>
    <t>OBSERVACIONES</t>
  </si>
  <si>
    <t>SILVA VEGA, MARIO ANTONIO</t>
  </si>
  <si>
    <t>10.967.693-4</t>
  </si>
  <si>
    <t>GARRIDO LAGOS, JESSICA EVELYN</t>
  </si>
  <si>
    <t>15.168.221-9</t>
  </si>
  <si>
    <t>Matemática 4° a 8° año</t>
  </si>
  <si>
    <t>Tecnología</t>
  </si>
  <si>
    <t>Taller Lógico Matemático (JEC)</t>
  </si>
  <si>
    <t>Docente Matemática 4° a 8° (30 hrs) + 2 horas Taller Matematica (6°) + 1 hota Tecnología</t>
  </si>
  <si>
    <t>Recreos 60/40</t>
  </si>
  <si>
    <t>Recreo 65/35</t>
  </si>
  <si>
    <t>Horas no Lectivas 60/40</t>
  </si>
  <si>
    <t>Horas No lectivas 65/35</t>
  </si>
  <si>
    <t>Total</t>
  </si>
  <si>
    <t>RIVEROS ARRIAGADA, MARIA VICTORIA</t>
  </si>
  <si>
    <t>Música</t>
  </si>
  <si>
    <t>12.261.185-K</t>
  </si>
  <si>
    <t>Historia</t>
  </si>
  <si>
    <t>Ciencias Naturales</t>
  </si>
  <si>
    <t>Artes Visuales</t>
  </si>
  <si>
    <t>Taller Lectura Escritura y Comprensión lectora LEC (JEC)</t>
  </si>
  <si>
    <t>Orientación</t>
  </si>
  <si>
    <t>MARCHANT ZAPATA, ROCIO DEL CARMEN</t>
  </si>
  <si>
    <t>16.992.683-2</t>
  </si>
  <si>
    <t>Educadora NT1</t>
  </si>
  <si>
    <t>RAMIREZ SANTANDER, PABLO IGNACIO</t>
  </si>
  <si>
    <t>18.786.260-4</t>
  </si>
  <si>
    <t>Educación Física</t>
  </si>
  <si>
    <t>Taller Deportivo</t>
  </si>
  <si>
    <t>AVILA VILLAGRA, CINTHIA NATALY</t>
  </si>
  <si>
    <t>15.876.032-0</t>
  </si>
  <si>
    <t>Matemática</t>
  </si>
  <si>
    <t>Historai y geografía</t>
  </si>
  <si>
    <t>27 horas UTP</t>
  </si>
  <si>
    <t>MORALES BURGOS, LILIAN ANDREA</t>
  </si>
  <si>
    <t>16.992.950-5</t>
  </si>
  <si>
    <t>Profesora Religión Evangélica</t>
  </si>
  <si>
    <t>HERRERA SAN MARTIN, JOVITA ELIZABETH</t>
  </si>
  <si>
    <t>20.111.423-3</t>
  </si>
  <si>
    <t>Profesora Religión Católica</t>
  </si>
  <si>
    <t>SE ENVIÓ CON LAS 18 Y NO 19 PORQUE SIREV HORAS EN OTRA ESCUELA Y EN EL TOTAL SE EXCEDERÍA</t>
  </si>
  <si>
    <t>YAÑEZ MELLADO, GRISELL AURA</t>
  </si>
  <si>
    <t>9.329.665-6</t>
  </si>
  <si>
    <t>Lenguaje y comunicación</t>
  </si>
  <si>
    <t>Taller Logico Matemático TLM (JEC)</t>
  </si>
  <si>
    <t>Ley 19070, articulo 69 inciso final (reducción carga horaria con 30 años de labor)</t>
  </si>
  <si>
    <t>Artículo 69, 19070</t>
  </si>
  <si>
    <t>SAN MARTIN CID, JENNY MARILYN</t>
  </si>
  <si>
    <t>10.418.598-3</t>
  </si>
  <si>
    <t>VASQUEZ AGUILLON, GRACIELA IVONNE</t>
  </si>
  <si>
    <t>10.480.986-3</t>
  </si>
  <si>
    <t xml:space="preserve">Orientación </t>
  </si>
  <si>
    <t>Taller Lectura, Escritura y Comprensión LEC (JEC)</t>
  </si>
  <si>
    <t>Taller Lógico Matemático TLM (JEC)</t>
  </si>
  <si>
    <r>
      <rPr>
        <sz val="11"/>
        <color rgb="FF000000"/>
        <rFont val="Aptos Narrow"/>
        <scheme val="minor"/>
      </rPr>
      <t xml:space="preserve">26 horas CE </t>
    </r>
    <r>
      <rPr>
        <sz val="11"/>
        <color rgb="FFFF0000"/>
        <rFont val="Aptos Narrow"/>
        <scheme val="minor"/>
      </rPr>
      <t xml:space="preserve"> (27 horas CE)</t>
    </r>
  </si>
  <si>
    <t>MUÑOZ MONSALVE, LIZBETH ALEJANDRA</t>
  </si>
  <si>
    <t>16.993.610-2</t>
  </si>
  <si>
    <t>Historia y geografía</t>
  </si>
  <si>
    <t>1 hora PFC</t>
  </si>
  <si>
    <t>VALENZUELA RIQUELME, BRENDA SUSANA</t>
  </si>
  <si>
    <t>11.810.875-2</t>
  </si>
  <si>
    <t>6 horas Coordinación CRA</t>
  </si>
  <si>
    <t>LAGOS RETAMAL, JORGE RAFAEL</t>
  </si>
  <si>
    <t>18.542.389-1</t>
  </si>
  <si>
    <t>Taller Deportivo (JEC)</t>
  </si>
  <si>
    <t>AROCA ECHEVERRÍA, MARÍA INÉS</t>
  </si>
  <si>
    <t>16.010.380-9</t>
  </si>
  <si>
    <t>Lenguaje</t>
  </si>
  <si>
    <t>OLIVARES RODRIGUEZ, CLAUDIO ANTONIO</t>
  </si>
  <si>
    <t>16.152.239-2</t>
  </si>
  <si>
    <t>Inglés</t>
  </si>
  <si>
    <t>Taller Inglés</t>
  </si>
  <si>
    <t>Docente de inglés</t>
  </si>
  <si>
    <t>BURGOS VENEGAS, CINTHYA ABIGAIL</t>
  </si>
  <si>
    <t>16.992.850-9</t>
  </si>
  <si>
    <t>Con fuero maternal</t>
  </si>
  <si>
    <t>RIVADENEIRA GÓMEZ, JENNIFER CRISTINA</t>
  </si>
  <si>
    <t>15.821.037-1</t>
  </si>
  <si>
    <t>Lengua y literatura</t>
  </si>
  <si>
    <t>Horas dejadas por la educadora que se acogió  ala ley 19070</t>
  </si>
  <si>
    <t>RODRIGUEZ MEDINA, CATALINA BELEN</t>
  </si>
  <si>
    <t>20.272.798-0</t>
  </si>
  <si>
    <t>DAEM AÑO 2025 LA ENVIÓ CON SOLICITU D DE 35 HORAS</t>
  </si>
  <si>
    <t>CARDENAS FUENTES, SANDRA ELIZABETH</t>
  </si>
  <si>
    <t>16.404.870-5</t>
  </si>
  <si>
    <t>Educadora Diferencial PIE</t>
  </si>
  <si>
    <t>FERNANDEZ LANDAETA, BARBARA CAMILA</t>
  </si>
  <si>
    <t>18.453.930-6</t>
  </si>
  <si>
    <t>PARRA ESPARZA, KAREN ANDREA</t>
  </si>
  <si>
    <t>16.993.787-7</t>
  </si>
  <si>
    <t>Educadora Diferencial y 20 horas Coordinación PIE</t>
  </si>
  <si>
    <t>GAJARDO RIQUELME, FABIOLA ANDREA</t>
  </si>
  <si>
    <t>13.797.615-3</t>
  </si>
  <si>
    <t>Asistentes de la educación</t>
  </si>
  <si>
    <t>RUT</t>
  </si>
  <si>
    <t>FUNCIÓN</t>
  </si>
  <si>
    <t>INDEFINIDAS SUB GRAL</t>
  </si>
  <si>
    <t>PLAZO FIJO SUB GRAL</t>
  </si>
  <si>
    <t>INDEFINIDAS SEP</t>
  </si>
  <si>
    <t>PLAZO FIJO SEP</t>
  </si>
  <si>
    <t>INDEFINIDAS PIE</t>
  </si>
  <si>
    <t>PLAZO FIJO PIE</t>
  </si>
  <si>
    <t>DÍAZ PUAS, LUISA ESTER</t>
  </si>
  <si>
    <t>14.587.990-6</t>
  </si>
  <si>
    <t>ASISTENTE DE SALA</t>
  </si>
  <si>
    <t>ALEGRIA GODOY, MARCELA NAYARETH</t>
  </si>
  <si>
    <t>11.852.345-8</t>
  </si>
  <si>
    <t>TECNICO EN PARVULOS</t>
  </si>
  <si>
    <t>MONTERO TAPIA, MARISOL</t>
  </si>
  <si>
    <t>15.169.471-3</t>
  </si>
  <si>
    <t>INSPECTOR/A</t>
  </si>
  <si>
    <t>BURGOS ALCARRUZ, CARLOS RIGOBERTO</t>
  </si>
  <si>
    <t>11.150.118-1</t>
  </si>
  <si>
    <t>AUXILIAR DE SERVICIOS</t>
  </si>
  <si>
    <t>LEIVA VASQUEZ, CARMEN GLORIA</t>
  </si>
  <si>
    <t>14.901.996-0</t>
  </si>
  <si>
    <t>VARGAS CRUCES, CAROLINA ANDREA</t>
  </si>
  <si>
    <t>15.492.166-4</t>
  </si>
  <si>
    <t>SECRETARIA ADMINISTRATIVA</t>
  </si>
  <si>
    <t>SEPULVEDA LAGOS, JESSICA ANDREA</t>
  </si>
  <si>
    <t>16.993.497-5</t>
  </si>
  <si>
    <t>RIQUELME RIQUELME, DANICA ALEJANDRA</t>
  </si>
  <si>
    <t>12.976.491-0</t>
  </si>
  <si>
    <t>QUINTANA ACUNA, JOSE ENRIQUE</t>
  </si>
  <si>
    <t>10.558.688-4</t>
  </si>
  <si>
    <t>ORMENO VIVALLOS, ANGELICA MARIA</t>
  </si>
  <si>
    <t>13.859.577-3</t>
  </si>
  <si>
    <t>BRIONES TRONCOSO, JACQUELINE DEL PILAR</t>
  </si>
  <si>
    <t>16.993.960-8</t>
  </si>
  <si>
    <t>REYES GONZALEZ, NICOLE ANDREA</t>
  </si>
  <si>
    <t>16.993.910-1</t>
  </si>
  <si>
    <t>ASISTENTE SOCIAL</t>
  </si>
  <si>
    <t>RAMOS AMAYA, CRISTOBAL MARCIAL</t>
  </si>
  <si>
    <t>16.993.172-0</t>
  </si>
  <si>
    <t>ENCARGADO DE INFORMATICA</t>
  </si>
  <si>
    <t>VILLARROEL PARRA, PAULA LEONOR</t>
  </si>
  <si>
    <t>16.993.728-1</t>
  </si>
  <si>
    <t>TÉCNICO EN ENFERMERÍA</t>
  </si>
  <si>
    <t>BERMUDEZ TRONCOSO, YOLANDA DEL CARMEN</t>
  </si>
  <si>
    <t>11.958.991-6</t>
  </si>
  <si>
    <t>ASISTENTE EDUCACION DIFERENCIAL</t>
  </si>
  <si>
    <t>ZUÑIGA SOTO, DAVID ERNESTO</t>
  </si>
  <si>
    <t>19.982.416-3</t>
  </si>
  <si>
    <t>OYANEDER POBLETE, MARIA GRACIELA</t>
  </si>
  <si>
    <t>13.851.184-7</t>
  </si>
  <si>
    <t>PSICOLOGO/A</t>
  </si>
  <si>
    <t>BOBADILLA ALARCON, ALVARO NICOLAS</t>
  </si>
  <si>
    <t>19.403.188-2</t>
  </si>
  <si>
    <t>KINESIOLOGO/A</t>
  </si>
  <si>
    <t>HIDD CUITIÑO, NICOLE SARAY</t>
  </si>
  <si>
    <t>18.857.663-K</t>
  </si>
  <si>
    <t>FONOAUDIÓLOGO/A</t>
  </si>
  <si>
    <t>CHAVEZ SEPULVEDA, KARLA MARISOL</t>
  </si>
  <si>
    <t>19.039.289-9</t>
  </si>
  <si>
    <t>TERAPEUTA OCUPACIONAL</t>
  </si>
  <si>
    <t>PINO URRUTIA, YARNA ESTEFANY</t>
  </si>
  <si>
    <t>16.992.771-5</t>
  </si>
  <si>
    <t>HENRIQUEZ RIQUELME, GUISELA ALEXANDRA</t>
  </si>
  <si>
    <t>18.786.263-9</t>
  </si>
  <si>
    <t>SOTO MEDRANO, MARIA ELENA</t>
  </si>
  <si>
    <t>11.958.659-3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</si>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</sst>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"/>
    <numFmt numFmtId="165" formatCode="[$-F400]h:mm:ss\ AM/PM"/>
    <numFmt numFmtId="166" formatCode="h:mm:ss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3" fillId="4" borderId="0" xfId="0" applyFont="1" applyFill="1"/>
    <xf numFmtId="0" fontId="0" fillId="4" borderId="0" xfId="0" applyFill="1"/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5" borderId="1" xfId="0" applyFill="1" applyBorder="1"/>
    <xf numFmtId="0" fontId="0" fillId="5" borderId="0" xfId="0" applyFill="1"/>
    <xf numFmtId="0" fontId="3" fillId="5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0" fillId="0" borderId="2" xfId="0" applyBorder="1"/>
    <xf numFmtId="0" fontId="2" fillId="5" borderId="1" xfId="0" applyFont="1" applyFill="1" applyBorder="1"/>
    <xf numFmtId="0" fontId="3" fillId="5" borderId="0" xfId="0" applyFont="1" applyFill="1"/>
    <xf numFmtId="0" fontId="3" fillId="0" borderId="0" xfId="0" applyFont="1"/>
    <xf numFmtId="164" fontId="0" fillId="0" borderId="1" xfId="0" applyNumberFormat="1" applyBorder="1"/>
    <xf numFmtId="20" fontId="0" fillId="3" borderId="1" xfId="0" applyNumberFormat="1" applyFill="1" applyBorder="1"/>
    <xf numFmtId="20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164" fontId="3" fillId="0" borderId="1" xfId="0" applyNumberFormat="1" applyFont="1" applyBorder="1"/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20" fontId="0" fillId="0" borderId="0" xfId="0" applyNumberFormat="1"/>
    <xf numFmtId="0" fontId="7" fillId="0" borderId="0" xfId="0" applyFont="1"/>
    <xf numFmtId="46" fontId="8" fillId="0" borderId="0" xfId="0" applyNumberFormat="1" applyFont="1" applyAlignment="1">
      <alignment horizontal="left"/>
    </xf>
    <xf numFmtId="0" fontId="8" fillId="0" borderId="1" xfId="0" applyFont="1" applyBorder="1"/>
    <xf numFmtId="0" fontId="8" fillId="0" borderId="0" xfId="0" applyFont="1"/>
    <xf numFmtId="164" fontId="0" fillId="5" borderId="1" xfId="0" applyNumberFormat="1" applyFill="1" applyBorder="1"/>
    <xf numFmtId="164" fontId="3" fillId="5" borderId="1" xfId="0" applyNumberFormat="1" applyFont="1" applyFill="1" applyBorder="1"/>
    <xf numFmtId="164" fontId="0" fillId="5" borderId="0" xfId="0" applyNumberFormat="1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53BB-C6D9-48C7-92CB-8C5D07842E4A}">
  <sheetPr codeName="Hoja1"/>
  <dimension ref="A1:Y247"/>
  <sheetViews>
    <sheetView tabSelected="1" zoomScale="161" zoomScaleNormal="80" workbookViewId="0">
      <pane xSplit="1" ySplit="2" topLeftCell="J177" activePane="bottomRight" state="frozen"/>
      <selection pane="topRight"/>
      <selection pane="bottomLeft"/>
      <selection pane="bottomRight" activeCell="W178" sqref="W178"/>
    </sheetView>
  </sheetViews>
  <sheetFormatPr baseColWidth="10" defaultColWidth="11.42578125" defaultRowHeight="15" x14ac:dyDescent="0.25"/>
  <cols>
    <col min="1" max="1" width="42.28515625" bestFit="1" customWidth="1"/>
    <col min="2" max="2" width="13.7109375" bestFit="1" customWidth="1"/>
    <col min="3" max="3" width="10.85546875" customWidth="1"/>
    <col min="4" max="9" width="10.140625" customWidth="1"/>
    <col min="10" max="10" width="4.28515625" customWidth="1"/>
    <col min="11" max="11" width="4.42578125" customWidth="1"/>
    <col min="12" max="19" width="3.42578125" customWidth="1"/>
    <col min="21" max="21" width="13.5703125" bestFit="1" customWidth="1"/>
    <col min="22" max="22" width="11.42578125" bestFit="1" customWidth="1"/>
    <col min="23" max="23" width="11.28515625" bestFit="1" customWidth="1"/>
    <col min="24" max="24" width="9.28515625" bestFit="1" customWidth="1"/>
    <col min="25" max="25" width="51.7109375" customWidth="1"/>
  </cols>
  <sheetData>
    <row r="1" spans="1:25" x14ac:dyDescent="0.25">
      <c r="J1" s="41" t="s">
        <v>0</v>
      </c>
      <c r="K1" s="41"/>
      <c r="L1" s="41"/>
      <c r="M1" s="41"/>
      <c r="N1" s="41"/>
      <c r="O1" s="41"/>
      <c r="P1" s="41"/>
      <c r="Q1" s="41"/>
      <c r="R1" s="41"/>
      <c r="S1" s="42"/>
    </row>
    <row r="2" spans="1:25" ht="45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2" t="s">
        <v>10</v>
      </c>
      <c r="K2" s="12" t="s">
        <v>11</v>
      </c>
      <c r="L2" s="5">
        <v>1</v>
      </c>
      <c r="M2" s="5">
        <v>2</v>
      </c>
      <c r="N2" s="5">
        <v>3</v>
      </c>
      <c r="O2" s="5">
        <v>4</v>
      </c>
      <c r="P2" s="5">
        <v>5</v>
      </c>
      <c r="Q2" s="5">
        <v>6</v>
      </c>
      <c r="R2" s="5">
        <v>7</v>
      </c>
      <c r="S2" s="5">
        <v>8</v>
      </c>
      <c r="T2" s="6" t="s">
        <v>12</v>
      </c>
      <c r="U2" s="2" t="s">
        <v>13</v>
      </c>
      <c r="V2" s="2" t="s">
        <v>14</v>
      </c>
      <c r="W2" s="2" t="s">
        <v>15</v>
      </c>
      <c r="X2" s="7" t="s">
        <v>16</v>
      </c>
      <c r="Y2" s="11" t="s">
        <v>17</v>
      </c>
    </row>
    <row r="3" spans="1:25" x14ac:dyDescent="0.25">
      <c r="A3" s="3" t="s">
        <v>18</v>
      </c>
      <c r="B3" s="3" t="s">
        <v>19</v>
      </c>
      <c r="C3" s="3">
        <v>44</v>
      </c>
      <c r="D3" s="3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3">
        <v>0</v>
      </c>
      <c r="U3" s="3">
        <v>44</v>
      </c>
      <c r="V3" s="3">
        <v>0</v>
      </c>
      <c r="W3" s="3">
        <v>0</v>
      </c>
      <c r="X3" s="23">
        <v>1.8333333333333333</v>
      </c>
      <c r="Y3" t="s">
        <v>178</v>
      </c>
    </row>
    <row r="4" spans="1:25" s="15" customForma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38"/>
    </row>
    <row r="5" spans="1:25" x14ac:dyDescent="0.25">
      <c r="A5" s="3" t="s">
        <v>20</v>
      </c>
      <c r="B5" s="3" t="s">
        <v>21</v>
      </c>
      <c r="C5" s="3">
        <v>44</v>
      </c>
      <c r="D5" s="3">
        <v>44</v>
      </c>
      <c r="E5" s="3"/>
      <c r="F5" s="3"/>
      <c r="G5" s="3"/>
      <c r="H5" s="3"/>
      <c r="I5" s="3"/>
      <c r="J5" s="3"/>
      <c r="K5" s="3"/>
      <c r="L5" s="3">
        <v>0</v>
      </c>
      <c r="M5" s="3">
        <v>0</v>
      </c>
      <c r="N5" s="3">
        <v>0</v>
      </c>
      <c r="O5" s="3">
        <v>6</v>
      </c>
      <c r="P5" s="3">
        <v>6</v>
      </c>
      <c r="Q5" s="3">
        <v>6</v>
      </c>
      <c r="R5" s="3">
        <v>6</v>
      </c>
      <c r="S5" s="3">
        <v>6</v>
      </c>
      <c r="T5" s="3">
        <v>30</v>
      </c>
      <c r="U5" s="23">
        <f>T5*45/1440</f>
        <v>0.9375</v>
      </c>
      <c r="V5" s="3">
        <v>0</v>
      </c>
      <c r="W5" s="3">
        <v>0</v>
      </c>
      <c r="X5" s="23"/>
      <c r="Y5" t="s">
        <v>22</v>
      </c>
    </row>
    <row r="6" spans="1:25" x14ac:dyDescent="0.25">
      <c r="A6" s="3" t="s">
        <v>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1</v>
      </c>
      <c r="R6" s="3"/>
      <c r="S6" s="3"/>
      <c r="T6" s="3">
        <v>1</v>
      </c>
      <c r="U6" s="23">
        <f>T6*45/1440</f>
        <v>3.125E-2</v>
      </c>
      <c r="V6" s="3"/>
      <c r="W6" s="3"/>
      <c r="X6" s="23"/>
      <c r="Y6" t="s">
        <v>23</v>
      </c>
    </row>
    <row r="7" spans="1:25" x14ac:dyDescent="0.25">
      <c r="A7" s="3" t="s">
        <v>20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2</v>
      </c>
      <c r="R7" s="3"/>
      <c r="S7" s="3"/>
      <c r="T7" s="3">
        <v>2</v>
      </c>
      <c r="U7" s="23">
        <f>T7*45/1440</f>
        <v>6.25E-2</v>
      </c>
      <c r="V7" s="3"/>
      <c r="W7" s="3"/>
      <c r="X7" s="23"/>
      <c r="Y7" t="s">
        <v>24</v>
      </c>
    </row>
    <row r="8" spans="1:2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13"/>
      <c r="U8" s="23"/>
      <c r="V8" s="3"/>
      <c r="W8" s="3"/>
      <c r="X8" s="23"/>
      <c r="Y8" t="s">
        <v>25</v>
      </c>
    </row>
    <row r="9" spans="1:25" x14ac:dyDescent="0.25">
      <c r="A9" s="3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4"/>
      <c r="U9" s="23">
        <v>2.013888888888889E-2</v>
      </c>
      <c r="V9" s="3"/>
      <c r="W9" s="3"/>
      <c r="X9" s="23"/>
    </row>
    <row r="10" spans="1:25" x14ac:dyDescent="0.25">
      <c r="A10" s="3" t="s">
        <v>27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4"/>
      <c r="U10" s="23">
        <v>8.819444444444445E-2</v>
      </c>
      <c r="V10" s="3"/>
      <c r="W10" s="3"/>
      <c r="X10" s="23"/>
    </row>
    <row r="11" spans="1:25" x14ac:dyDescent="0.25">
      <c r="A11" s="3" t="s">
        <v>28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4"/>
      <c r="U11" s="23">
        <v>8.4027777777777785E-2</v>
      </c>
      <c r="V11" s="3"/>
      <c r="W11" s="3"/>
      <c r="X11" s="23"/>
    </row>
    <row r="12" spans="1:25" x14ac:dyDescent="0.25">
      <c r="A12" s="3" t="s">
        <v>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4"/>
      <c r="U12" s="23">
        <v>0.35972222222222222</v>
      </c>
      <c r="V12" s="3"/>
      <c r="W12" s="3"/>
      <c r="X12" s="23"/>
    </row>
    <row r="13" spans="1:25" x14ac:dyDescent="0.25">
      <c r="A13" s="3" t="s">
        <v>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13"/>
      <c r="U13" s="23">
        <f>SUM(U5:U12)</f>
        <v>1.5833333333333335</v>
      </c>
      <c r="V13" s="3"/>
      <c r="W13" s="3"/>
      <c r="X13" s="26">
        <f>SUM(U13:W13)</f>
        <v>1.5833333333333335</v>
      </c>
    </row>
    <row r="14" spans="1:25" s="15" customForma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38"/>
    </row>
    <row r="15" spans="1:25" x14ac:dyDescent="0.25">
      <c r="A15" s="3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2</v>
      </c>
      <c r="N15" s="3"/>
      <c r="O15" s="3">
        <v>2</v>
      </c>
      <c r="P15" s="3">
        <v>1</v>
      </c>
      <c r="Q15" s="3">
        <v>1</v>
      </c>
      <c r="R15" s="3">
        <v>1</v>
      </c>
      <c r="S15" s="3">
        <v>1</v>
      </c>
      <c r="T15" s="3">
        <f t="shared" ref="T15:T22" si="0">SUM(J15:S15)</f>
        <v>8</v>
      </c>
      <c r="U15" s="23">
        <f t="shared" ref="U15:U22" si="1">T15*45/1440</f>
        <v>0.25</v>
      </c>
      <c r="V15" s="3"/>
      <c r="W15" s="3"/>
      <c r="X15" s="23"/>
      <c r="Y15" t="s">
        <v>32</v>
      </c>
    </row>
    <row r="16" spans="1:25" x14ac:dyDescent="0.25">
      <c r="A16" s="3" t="s">
        <v>31</v>
      </c>
      <c r="B16" s="3" t="s">
        <v>33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3</v>
      </c>
      <c r="N16" s="3">
        <v>3</v>
      </c>
      <c r="O16" s="3"/>
      <c r="P16" s="3"/>
      <c r="Q16" s="3"/>
      <c r="R16" s="3"/>
      <c r="S16" s="3"/>
      <c r="T16" s="3">
        <f t="shared" si="0"/>
        <v>6</v>
      </c>
      <c r="U16" s="23">
        <f t="shared" si="1"/>
        <v>0.1875</v>
      </c>
      <c r="V16" s="3"/>
      <c r="W16" s="3"/>
      <c r="X16" s="23"/>
      <c r="Y16" t="s">
        <v>34</v>
      </c>
    </row>
    <row r="17" spans="1:25" x14ac:dyDescent="0.25">
      <c r="A17" s="3" t="s">
        <v>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3</v>
      </c>
      <c r="O17" s="3"/>
      <c r="P17" s="3"/>
      <c r="Q17" s="3"/>
      <c r="R17" s="3"/>
      <c r="S17" s="3"/>
      <c r="T17" s="3">
        <f t="shared" si="0"/>
        <v>3</v>
      </c>
      <c r="U17" s="23">
        <f t="shared" si="1"/>
        <v>9.375E-2</v>
      </c>
      <c r="V17" s="3"/>
      <c r="W17" s="3"/>
      <c r="X17" s="23"/>
      <c r="Y17" t="s">
        <v>35</v>
      </c>
    </row>
    <row r="18" spans="1:25" x14ac:dyDescent="0.25">
      <c r="A18" s="3" t="s">
        <v>31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2</v>
      </c>
      <c r="N18" s="3">
        <v>2</v>
      </c>
      <c r="O18" s="3"/>
      <c r="P18" s="3"/>
      <c r="Q18" s="3"/>
      <c r="R18" s="3"/>
      <c r="S18" s="3"/>
      <c r="T18" s="3">
        <f t="shared" si="0"/>
        <v>4</v>
      </c>
      <c r="U18" s="23">
        <f t="shared" si="1"/>
        <v>0.125</v>
      </c>
      <c r="V18" s="3"/>
      <c r="W18" s="3"/>
      <c r="X18" s="23"/>
      <c r="Y18" t="s">
        <v>36</v>
      </c>
    </row>
    <row r="19" spans="1:25" x14ac:dyDescent="0.25">
      <c r="A19" s="3" t="s">
        <v>31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>
        <v>2</v>
      </c>
      <c r="M19" s="3"/>
      <c r="N19" s="3"/>
      <c r="O19" s="3"/>
      <c r="P19" s="3">
        <v>2</v>
      </c>
      <c r="Q19" s="3"/>
      <c r="R19" s="3"/>
      <c r="S19" s="3"/>
      <c r="T19" s="3">
        <f t="shared" si="0"/>
        <v>4</v>
      </c>
      <c r="U19" s="23">
        <f t="shared" si="1"/>
        <v>0.125</v>
      </c>
      <c r="V19" s="3"/>
      <c r="W19" s="3"/>
      <c r="X19" s="23"/>
      <c r="Y19" t="s">
        <v>37</v>
      </c>
    </row>
    <row r="20" spans="1:25" x14ac:dyDescent="0.25">
      <c r="A20" s="3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2</v>
      </c>
      <c r="Q20" s="3"/>
      <c r="R20" s="3">
        <v>2</v>
      </c>
      <c r="S20" s="3">
        <v>2</v>
      </c>
      <c r="T20" s="3">
        <f t="shared" si="0"/>
        <v>6</v>
      </c>
      <c r="U20" s="23">
        <f t="shared" si="1"/>
        <v>0.1875</v>
      </c>
      <c r="V20" s="3"/>
      <c r="W20" s="3"/>
      <c r="X20" s="23"/>
      <c r="Y20" t="s">
        <v>24</v>
      </c>
    </row>
    <row r="21" spans="1:25" x14ac:dyDescent="0.25">
      <c r="A21" s="3" t="s">
        <v>31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>
        <v>1</v>
      </c>
      <c r="T21" s="3">
        <f t="shared" si="0"/>
        <v>1</v>
      </c>
      <c r="U21" s="23">
        <f t="shared" si="1"/>
        <v>3.125E-2</v>
      </c>
      <c r="V21" s="3"/>
      <c r="W21" s="3"/>
      <c r="X21" s="23"/>
      <c r="Y21" t="s">
        <v>23</v>
      </c>
    </row>
    <row r="22" spans="1:25" x14ac:dyDescent="0.25">
      <c r="A22" s="3" t="s">
        <v>31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1</v>
      </c>
      <c r="T22" s="3">
        <f t="shared" si="0"/>
        <v>1</v>
      </c>
      <c r="U22" s="23">
        <f t="shared" si="1"/>
        <v>3.125E-2</v>
      </c>
      <c r="V22" s="3"/>
      <c r="W22" s="3"/>
      <c r="X22" s="23"/>
      <c r="Y22" t="s">
        <v>38</v>
      </c>
    </row>
    <row r="23" spans="1:25" x14ac:dyDescent="0.25">
      <c r="A23" s="3" t="s">
        <v>31</v>
      </c>
      <c r="B23" s="3"/>
      <c r="C23" s="3">
        <v>44</v>
      </c>
      <c r="D23" s="3">
        <v>39</v>
      </c>
      <c r="E23" s="3"/>
      <c r="F23" s="3"/>
      <c r="G23" s="3">
        <v>2</v>
      </c>
      <c r="H23" s="3"/>
      <c r="I23" s="3">
        <v>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13"/>
      <c r="U23" s="23"/>
      <c r="V23" s="25">
        <v>4.1666666666666664E-2</v>
      </c>
      <c r="W23" s="25">
        <v>0.125</v>
      </c>
      <c r="X23" s="23"/>
    </row>
    <row r="24" spans="1:25" x14ac:dyDescent="0.25">
      <c r="A24" s="3" t="s">
        <v>26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13"/>
      <c r="U24" s="23">
        <v>6.805555555555555E-2</v>
      </c>
      <c r="V24" s="3"/>
      <c r="W24" s="3"/>
      <c r="X24" s="23"/>
    </row>
    <row r="25" spans="1:25" x14ac:dyDescent="0.25">
      <c r="A25" s="3" t="s">
        <v>27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13"/>
      <c r="U25" s="23">
        <v>4.5138888888888888E-2</v>
      </c>
      <c r="V25" s="3"/>
      <c r="W25" s="3"/>
      <c r="X25" s="23"/>
    </row>
    <row r="26" spans="1:25" x14ac:dyDescent="0.25">
      <c r="A26" s="3" t="s">
        <v>28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13"/>
      <c r="U26" s="23">
        <v>0.33819444444444446</v>
      </c>
      <c r="V26" s="3"/>
      <c r="W26" s="3"/>
      <c r="X26" s="23"/>
    </row>
    <row r="27" spans="1:25" x14ac:dyDescent="0.25">
      <c r="A27" s="3" t="s">
        <v>29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13"/>
      <c r="U27" s="23">
        <v>0.18402777777777779</v>
      </c>
      <c r="V27" s="3"/>
      <c r="W27" s="3"/>
      <c r="X27" s="23"/>
    </row>
    <row r="28" spans="1:25" x14ac:dyDescent="0.25">
      <c r="A28" s="3" t="s">
        <v>30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3"/>
      <c r="U28" s="23">
        <f>SUM(U15:U27)</f>
        <v>1.6666666666666665</v>
      </c>
      <c r="V28" s="23">
        <f>SUM(V15:V27)</f>
        <v>4.1666666666666664E-2</v>
      </c>
      <c r="W28" s="23">
        <f>SUM(W15:W27)</f>
        <v>0.125</v>
      </c>
      <c r="X28" s="26">
        <f>SUM(U28:W28)</f>
        <v>1.8333333333333333</v>
      </c>
    </row>
    <row r="29" spans="1:25" s="15" customForma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38"/>
    </row>
    <row r="30" spans="1:25" x14ac:dyDescent="0.25">
      <c r="A30" s="3" t="s">
        <v>39</v>
      </c>
      <c r="B30" s="3" t="s">
        <v>40</v>
      </c>
      <c r="C30" s="3">
        <v>44</v>
      </c>
      <c r="D30" s="3">
        <v>38</v>
      </c>
      <c r="E30" s="3">
        <v>3</v>
      </c>
      <c r="F30" s="3"/>
      <c r="G30" s="3"/>
      <c r="H30" s="3"/>
      <c r="I30" s="3">
        <v>3</v>
      </c>
      <c r="J30" s="3">
        <v>38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13">
        <v>34</v>
      </c>
      <c r="U30" s="23">
        <f>T30*45/1440</f>
        <v>1.0625</v>
      </c>
      <c r="V30" s="3">
        <v>0</v>
      </c>
      <c r="W30" s="25">
        <v>0.125</v>
      </c>
      <c r="X30" s="23"/>
      <c r="Y30" t="s">
        <v>41</v>
      </c>
    </row>
    <row r="31" spans="1:25" x14ac:dyDescent="0.25">
      <c r="A31" s="3" t="s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3"/>
      <c r="U31" s="23">
        <f>T31*45/1440</f>
        <v>0</v>
      </c>
      <c r="V31" s="3"/>
      <c r="W31" s="3"/>
      <c r="X31" s="23"/>
    </row>
    <row r="32" spans="1:25" x14ac:dyDescent="0.25">
      <c r="A32" s="3" t="s">
        <v>27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3"/>
      <c r="U32" s="23">
        <v>0.125</v>
      </c>
      <c r="V32" s="3"/>
      <c r="W32" s="3"/>
      <c r="X32" s="23"/>
    </row>
    <row r="33" spans="1:25" x14ac:dyDescent="0.25">
      <c r="A33" s="3" t="s">
        <v>28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3"/>
      <c r="U33" s="23">
        <f>T33*45/1440</f>
        <v>0</v>
      </c>
      <c r="V33" s="3"/>
      <c r="W33" s="3"/>
      <c r="X33" s="23"/>
    </row>
    <row r="34" spans="1:25" x14ac:dyDescent="0.25">
      <c r="A34" s="3" t="s">
        <v>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13"/>
      <c r="U34" s="23">
        <v>0.52083333333333337</v>
      </c>
      <c r="V34" s="3"/>
      <c r="W34" s="3"/>
      <c r="X34" s="23"/>
    </row>
    <row r="35" spans="1:25" x14ac:dyDescent="0.25">
      <c r="A35" s="3" t="s">
        <v>30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13"/>
      <c r="U35" s="23">
        <f>SUM(U30:U34)</f>
        <v>1.7083333333333335</v>
      </c>
      <c r="V35" s="23">
        <f>SUM(V30:V34)</f>
        <v>0</v>
      </c>
      <c r="W35" s="23">
        <f>SUM(W30:W34)</f>
        <v>0.125</v>
      </c>
      <c r="X35" s="26">
        <f>SUM(U35:W35)</f>
        <v>1.8333333333333335</v>
      </c>
    </row>
    <row r="36" spans="1:25" s="15" customForma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38"/>
    </row>
    <row r="37" spans="1:25" x14ac:dyDescent="0.25">
      <c r="A37" s="3" t="s">
        <v>42</v>
      </c>
      <c r="B37" s="3" t="s">
        <v>43</v>
      </c>
      <c r="C37" s="3"/>
      <c r="D37" s="3"/>
      <c r="E37" s="3"/>
      <c r="F37" s="3"/>
      <c r="G37" s="3"/>
      <c r="H37" s="3"/>
      <c r="I37" s="3"/>
      <c r="J37" s="3">
        <v>1</v>
      </c>
      <c r="K37" s="3">
        <v>1</v>
      </c>
      <c r="L37" s="3">
        <v>4</v>
      </c>
      <c r="M37" s="3">
        <v>2</v>
      </c>
      <c r="N37" s="3">
        <v>4</v>
      </c>
      <c r="O37" s="3">
        <v>4</v>
      </c>
      <c r="P37" s="3">
        <v>2</v>
      </c>
      <c r="Q37" s="3">
        <v>2</v>
      </c>
      <c r="R37" s="3">
        <v>2</v>
      </c>
      <c r="S37" s="3">
        <v>2</v>
      </c>
      <c r="T37" s="3">
        <f>SUM(J37:S37)</f>
        <v>24</v>
      </c>
      <c r="U37" s="23">
        <f>T37*45/1440</f>
        <v>0.75</v>
      </c>
      <c r="V37" s="3"/>
      <c r="W37" s="3"/>
      <c r="X37" s="23"/>
      <c r="Y37" t="s">
        <v>44</v>
      </c>
    </row>
    <row r="38" spans="1:25" x14ac:dyDescent="0.25">
      <c r="A38" s="3" t="s">
        <v>42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1</v>
      </c>
      <c r="Q38" s="3"/>
      <c r="R38" s="3"/>
      <c r="S38" s="3"/>
      <c r="T38" s="3">
        <f>SUM(J38:S38)</f>
        <v>1</v>
      </c>
      <c r="U38" s="23">
        <f>T38*45/1440</f>
        <v>3.125E-2</v>
      </c>
      <c r="V38" s="3"/>
      <c r="W38" s="3"/>
      <c r="X38" s="23"/>
      <c r="Y38" t="s">
        <v>23</v>
      </c>
    </row>
    <row r="39" spans="1:25" x14ac:dyDescent="0.25">
      <c r="A39" s="3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1</v>
      </c>
      <c r="Q39" s="3"/>
      <c r="R39" s="3"/>
      <c r="S39" s="3"/>
      <c r="T39" s="3">
        <f>SUM(J39:S39)</f>
        <v>1</v>
      </c>
      <c r="U39" s="23">
        <f>T39*45/1440</f>
        <v>3.125E-2</v>
      </c>
      <c r="V39" s="3"/>
      <c r="W39" s="3"/>
      <c r="X39" s="23"/>
      <c r="Y39" t="s">
        <v>38</v>
      </c>
    </row>
    <row r="40" spans="1:25" x14ac:dyDescent="0.25">
      <c r="A40" s="3" t="s">
        <v>42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v>2</v>
      </c>
      <c r="Q40" s="3"/>
      <c r="R40" s="3"/>
      <c r="S40" s="3"/>
      <c r="T40" s="3">
        <f>SUM(J40:S40)</f>
        <v>2</v>
      </c>
      <c r="U40" s="23">
        <f>T40*45/1440</f>
        <v>6.25E-2</v>
      </c>
      <c r="V40" s="3"/>
      <c r="W40" s="3"/>
      <c r="X40" s="23"/>
      <c r="Y40" t="s">
        <v>45</v>
      </c>
    </row>
    <row r="41" spans="1:25" x14ac:dyDescent="0.25">
      <c r="A41" s="3" t="s">
        <v>42</v>
      </c>
      <c r="B41" s="3"/>
      <c r="C41" s="3">
        <v>44</v>
      </c>
      <c r="D41" s="3">
        <v>33</v>
      </c>
      <c r="E41" s="3"/>
      <c r="F41" s="3"/>
      <c r="G41" s="3">
        <v>8</v>
      </c>
      <c r="H41" s="3">
        <v>1</v>
      </c>
      <c r="I41" s="3">
        <v>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13"/>
      <c r="U41" s="23">
        <f>T41*45/1440</f>
        <v>0</v>
      </c>
      <c r="V41" s="25">
        <v>0.33333333333333331</v>
      </c>
      <c r="W41" s="25">
        <v>0.125</v>
      </c>
      <c r="X41" s="23"/>
      <c r="Y41">
        <f>SUM(J41:S41)</f>
        <v>0</v>
      </c>
    </row>
    <row r="42" spans="1:25" x14ac:dyDescent="0.25">
      <c r="A42" s="3" t="s">
        <v>26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13"/>
      <c r="U42" s="23">
        <v>4.8611111111111112E-2</v>
      </c>
      <c r="V42" s="25"/>
      <c r="W42" s="25"/>
      <c r="X42" s="23"/>
    </row>
    <row r="43" spans="1:25" x14ac:dyDescent="0.25">
      <c r="A43" s="3" t="s">
        <v>27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13"/>
      <c r="U43" s="23">
        <v>4.5138888888888888E-2</v>
      </c>
      <c r="V43" s="25"/>
      <c r="W43" s="25"/>
      <c r="X43" s="23"/>
    </row>
    <row r="44" spans="1:25" x14ac:dyDescent="0.25">
      <c r="A44" s="3" t="s">
        <v>28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13"/>
      <c r="U44" s="23">
        <v>0.22222222222222221</v>
      </c>
      <c r="V44" s="25"/>
      <c r="W44" s="25"/>
      <c r="X44" s="23"/>
    </row>
    <row r="45" spans="1:25" x14ac:dyDescent="0.25">
      <c r="A45" s="3" t="s">
        <v>29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13"/>
      <c r="U45" s="23">
        <v>0.18402777777777779</v>
      </c>
      <c r="V45" s="25"/>
      <c r="W45" s="25"/>
      <c r="X45" s="23"/>
    </row>
    <row r="46" spans="1:25" x14ac:dyDescent="0.25">
      <c r="A46" s="3" t="s">
        <v>30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13"/>
      <c r="U46" s="23">
        <f>SUM(U37:U45)</f>
        <v>1.375</v>
      </c>
      <c r="V46" s="23">
        <f>SUM(V37:V45)</f>
        <v>0.33333333333333331</v>
      </c>
      <c r="W46" s="23">
        <f>SUM(W37:W45)</f>
        <v>0.125</v>
      </c>
      <c r="X46" s="23">
        <f>SUM(U46:W46)</f>
        <v>1.8333333333333333</v>
      </c>
    </row>
    <row r="47" spans="1:25" s="15" customForma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38"/>
    </row>
    <row r="48" spans="1:25" x14ac:dyDescent="0.25">
      <c r="A48" s="3" t="s">
        <v>46</v>
      </c>
      <c r="B48" s="3" t="s">
        <v>47</v>
      </c>
      <c r="C48" s="3">
        <v>44</v>
      </c>
      <c r="D48" s="3">
        <v>41</v>
      </c>
      <c r="E48" s="3"/>
      <c r="F48" s="3"/>
      <c r="G48" s="3"/>
      <c r="H48" s="3">
        <v>3</v>
      </c>
      <c r="I48" s="3"/>
      <c r="J48" s="3"/>
      <c r="K48" s="3"/>
      <c r="L48" s="3">
        <v>6</v>
      </c>
      <c r="M48" s="3"/>
      <c r="N48" s="3"/>
      <c r="O48" s="3"/>
      <c r="P48" s="3"/>
      <c r="Q48" s="3"/>
      <c r="R48" s="3"/>
      <c r="S48" s="3"/>
      <c r="T48" s="3">
        <f>SUM(J48:S48)</f>
        <v>6</v>
      </c>
      <c r="U48" s="23">
        <f>T48*45/1440</f>
        <v>0.1875</v>
      </c>
      <c r="V48" s="3"/>
      <c r="W48" s="3"/>
      <c r="X48" s="23"/>
      <c r="Y48" s="3" t="s">
        <v>48</v>
      </c>
    </row>
    <row r="49" spans="1:25" x14ac:dyDescent="0.25">
      <c r="A49" s="3" t="s">
        <v>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v>3</v>
      </c>
      <c r="M49" s="3"/>
      <c r="N49" s="3"/>
      <c r="O49" s="3"/>
      <c r="P49" s="3"/>
      <c r="Q49" s="3"/>
      <c r="R49" s="3"/>
      <c r="S49" s="3"/>
      <c r="T49" s="3">
        <f>SUM(J49:S49)</f>
        <v>3</v>
      </c>
      <c r="U49" s="23">
        <f>T49*45/1440</f>
        <v>9.375E-2</v>
      </c>
      <c r="V49" s="3"/>
      <c r="W49" s="3"/>
      <c r="X49" s="23"/>
      <c r="Y49" s="3" t="s">
        <v>49</v>
      </c>
    </row>
    <row r="50" spans="1:25" x14ac:dyDescent="0.25">
      <c r="A50" s="3" t="s">
        <v>46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v>1</v>
      </c>
      <c r="M50" s="3"/>
      <c r="N50" s="3"/>
      <c r="O50" s="3"/>
      <c r="P50" s="3"/>
      <c r="Q50" s="3"/>
      <c r="R50" s="3"/>
      <c r="S50" s="3"/>
      <c r="T50" s="3">
        <f>SUM(J50:S50)</f>
        <v>1</v>
      </c>
      <c r="U50" s="23">
        <f>T50*45/1440</f>
        <v>3.125E-2</v>
      </c>
      <c r="V50" s="3"/>
      <c r="W50" s="3"/>
      <c r="X50" s="23"/>
      <c r="Y50" s="3" t="s">
        <v>38</v>
      </c>
    </row>
    <row r="51" spans="1:25" x14ac:dyDescent="0.25">
      <c r="A51" s="3" t="s">
        <v>46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>
        <v>1</v>
      </c>
      <c r="M51" s="3"/>
      <c r="N51" s="3"/>
      <c r="O51" s="3"/>
      <c r="P51" s="3"/>
      <c r="Q51" s="3"/>
      <c r="R51" s="3"/>
      <c r="S51" s="3"/>
      <c r="T51" s="3">
        <f>SUM(J51:S51)</f>
        <v>1</v>
      </c>
      <c r="U51" s="23">
        <f>T51*45/1440</f>
        <v>3.125E-2</v>
      </c>
      <c r="V51" s="3"/>
      <c r="W51" s="3"/>
      <c r="X51" s="23"/>
      <c r="Y51" s="3" t="s">
        <v>23</v>
      </c>
    </row>
    <row r="52" spans="1:25" x14ac:dyDescent="0.25">
      <c r="A52" s="3" t="s">
        <v>46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0</v>
      </c>
      <c r="U52" s="23">
        <v>1.125</v>
      </c>
      <c r="V52" s="3"/>
      <c r="W52" s="3"/>
      <c r="X52" s="23"/>
      <c r="Y52" s="36" t="s">
        <v>50</v>
      </c>
    </row>
    <row r="53" spans="1:25" x14ac:dyDescent="0.25">
      <c r="A53" s="3" t="s">
        <v>46</v>
      </c>
      <c r="B53" s="3"/>
      <c r="C53" s="3">
        <v>44</v>
      </c>
      <c r="D53" s="3">
        <v>41</v>
      </c>
      <c r="E53" s="3"/>
      <c r="F53" s="3"/>
      <c r="G53" s="3"/>
      <c r="H53" s="3">
        <v>3</v>
      </c>
      <c r="I53" s="3"/>
      <c r="J53" s="3"/>
      <c r="K53" s="3"/>
      <c r="L53" s="3">
        <v>11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17"/>
      <c r="U53" s="23"/>
      <c r="V53" s="3">
        <v>0</v>
      </c>
      <c r="W53" s="25">
        <v>0.125</v>
      </c>
      <c r="X53" s="23"/>
      <c r="Y53" s="3"/>
    </row>
    <row r="54" spans="1:25" x14ac:dyDescent="0.25">
      <c r="A54" s="3" t="s">
        <v>26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17"/>
      <c r="U54" s="23">
        <v>3.9583333333333331E-2</v>
      </c>
      <c r="V54" s="3"/>
      <c r="W54" s="3"/>
      <c r="X54" s="23"/>
    </row>
    <row r="55" spans="1:25" x14ac:dyDescent="0.25">
      <c r="A55" s="3" t="s">
        <v>27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7"/>
      <c r="U55" s="23"/>
      <c r="V55" s="3"/>
      <c r="W55" s="3"/>
      <c r="X55" s="23"/>
    </row>
    <row r="56" spans="1:25" x14ac:dyDescent="0.25">
      <c r="A56" s="3" t="s">
        <v>28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17"/>
      <c r="U56" s="23">
        <v>0.2</v>
      </c>
      <c r="V56" s="3"/>
      <c r="W56" s="3"/>
      <c r="X56" s="23"/>
    </row>
    <row r="57" spans="1:25" x14ac:dyDescent="0.25">
      <c r="A57" s="3" t="s">
        <v>29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17"/>
      <c r="U57" s="23"/>
      <c r="V57" s="3"/>
      <c r="W57" s="3"/>
      <c r="X57" s="23"/>
    </row>
    <row r="58" spans="1:25" x14ac:dyDescent="0.25">
      <c r="A58" s="3" t="s">
        <v>30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17"/>
      <c r="U58" s="23">
        <f>SUM(U48:U57)</f>
        <v>1.7083333333333333</v>
      </c>
      <c r="V58" s="23">
        <f>SUM(V48:V57)</f>
        <v>0</v>
      </c>
      <c r="W58" s="23">
        <f>SUM(W48:W57)</f>
        <v>0.125</v>
      </c>
      <c r="X58" s="26">
        <f>SUM(U58:W58)</f>
        <v>1.8333333333333333</v>
      </c>
      <c r="Y58" s="35">
        <v>1.8333333333333333</v>
      </c>
    </row>
    <row r="59" spans="1:25" s="15" customForma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4"/>
      <c r="V59" s="14"/>
      <c r="W59" s="14"/>
      <c r="X59" s="38"/>
    </row>
    <row r="60" spans="1:25" x14ac:dyDescent="0.25">
      <c r="A60" s="3" t="s">
        <v>51</v>
      </c>
      <c r="B60" s="3" t="s">
        <v>52</v>
      </c>
      <c r="C60" s="3">
        <v>19</v>
      </c>
      <c r="D60" s="3">
        <v>19</v>
      </c>
      <c r="E60" s="3"/>
      <c r="F60" s="3"/>
      <c r="G60" s="3"/>
      <c r="H60" s="3"/>
      <c r="I60" s="3"/>
      <c r="J60" s="3"/>
      <c r="K60" s="3"/>
      <c r="L60" s="3">
        <v>2</v>
      </c>
      <c r="M60" s="3">
        <v>2</v>
      </c>
      <c r="N60" s="3">
        <v>2</v>
      </c>
      <c r="O60" s="3">
        <v>2</v>
      </c>
      <c r="P60" s="3">
        <v>2</v>
      </c>
      <c r="Q60" s="3">
        <v>2</v>
      </c>
      <c r="R60" s="3">
        <v>2</v>
      </c>
      <c r="S60" s="3">
        <v>2</v>
      </c>
      <c r="T60" s="3">
        <v>16</v>
      </c>
      <c r="U60" s="23">
        <f>T60*45/1440</f>
        <v>0.5</v>
      </c>
      <c r="V60" s="3">
        <v>0</v>
      </c>
      <c r="W60" s="3">
        <v>0</v>
      </c>
      <c r="X60" s="3"/>
      <c r="Y60" t="s">
        <v>53</v>
      </c>
    </row>
    <row r="61" spans="1:25" x14ac:dyDescent="0.25">
      <c r="A61" s="3" t="s">
        <v>26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23">
        <v>2.8472222222222222E-2</v>
      </c>
      <c r="V61" s="3"/>
      <c r="W61" s="3"/>
      <c r="X61" s="23"/>
    </row>
    <row r="62" spans="1:25" x14ac:dyDescent="0.25">
      <c r="A62" s="3" t="s">
        <v>27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23">
        <v>2.5694444444444443E-2</v>
      </c>
      <c r="V62" s="3"/>
      <c r="W62" s="3"/>
      <c r="X62" s="23"/>
    </row>
    <row r="63" spans="1:25" x14ac:dyDescent="0.25">
      <c r="A63" s="3" t="s">
        <v>28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23">
        <v>0.13819444444444445</v>
      </c>
      <c r="V63" s="3"/>
      <c r="W63" s="3"/>
      <c r="X63" s="23"/>
    </row>
    <row r="64" spans="1:25" x14ac:dyDescent="0.25">
      <c r="A64" s="3" t="s">
        <v>29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23">
        <v>9.930555555555555E-2</v>
      </c>
      <c r="V64" s="3"/>
      <c r="W64" s="3"/>
      <c r="X64" s="23"/>
    </row>
    <row r="65" spans="1:25" x14ac:dyDescent="0.25">
      <c r="A65" s="3" t="s">
        <v>30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23">
        <f>SUM(U60:U64)</f>
        <v>0.79166666666666674</v>
      </c>
      <c r="V65" s="23">
        <f>SUM(V60:V64)</f>
        <v>0</v>
      </c>
      <c r="W65" s="23">
        <f>SUM(W60:W64)</f>
        <v>0</v>
      </c>
      <c r="X65" s="23">
        <f>SUM(U65:W65)</f>
        <v>0.79166666666666674</v>
      </c>
    </row>
    <row r="66" spans="1:25" s="15" customForma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38"/>
    </row>
    <row r="67" spans="1:25" x14ac:dyDescent="0.25">
      <c r="A67" s="3" t="s">
        <v>54</v>
      </c>
      <c r="B67" s="3" t="s">
        <v>55</v>
      </c>
      <c r="C67" s="3">
        <v>18</v>
      </c>
      <c r="D67" s="3"/>
      <c r="E67" s="3">
        <v>18</v>
      </c>
      <c r="F67" s="3"/>
      <c r="G67" s="3"/>
      <c r="H67" s="3"/>
      <c r="I67" s="3"/>
      <c r="J67" s="3"/>
      <c r="K67" s="3"/>
      <c r="L67" s="3">
        <v>2</v>
      </c>
      <c r="M67" s="3">
        <v>2</v>
      </c>
      <c r="N67" s="3">
        <v>2</v>
      </c>
      <c r="O67" s="3">
        <v>2</v>
      </c>
      <c r="P67" s="3">
        <v>2</v>
      </c>
      <c r="Q67" s="3">
        <v>2</v>
      </c>
      <c r="R67" s="3">
        <v>2</v>
      </c>
      <c r="S67" s="3">
        <v>2</v>
      </c>
      <c r="T67" s="3">
        <v>16</v>
      </c>
      <c r="U67" s="23">
        <f>T67*45/1440</f>
        <v>0.5</v>
      </c>
      <c r="V67" s="3">
        <v>0</v>
      </c>
      <c r="W67" s="3">
        <v>0</v>
      </c>
      <c r="X67" s="23"/>
      <c r="Y67" t="s">
        <v>56</v>
      </c>
    </row>
    <row r="68" spans="1:25" x14ac:dyDescent="0.25">
      <c r="A68" s="3" t="s">
        <v>26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3">
        <v>2.8472222222222222E-2</v>
      </c>
      <c r="V68" s="3"/>
      <c r="W68" s="3"/>
      <c r="X68" s="23"/>
    </row>
    <row r="69" spans="1:25" x14ac:dyDescent="0.25">
      <c r="A69" s="3" t="s">
        <v>27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23">
        <v>2.5694444444444443E-2</v>
      </c>
      <c r="V69" s="3"/>
      <c r="W69" s="3"/>
      <c r="X69" s="23"/>
    </row>
    <row r="70" spans="1:25" x14ac:dyDescent="0.25">
      <c r="A70" s="3" t="s">
        <v>28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23">
        <v>0.13819444444444445</v>
      </c>
      <c r="V70" s="3"/>
      <c r="W70" s="3"/>
      <c r="X70" s="23"/>
    </row>
    <row r="71" spans="1:25" x14ac:dyDescent="0.25">
      <c r="A71" s="3" t="s">
        <v>29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23">
        <v>9.930555555555555E-2</v>
      </c>
      <c r="V71" s="3"/>
      <c r="W71" s="3"/>
      <c r="X71" s="23"/>
    </row>
    <row r="72" spans="1:25" x14ac:dyDescent="0.25">
      <c r="A72" s="3" t="s">
        <v>30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3">
        <f>SUM(U67:U71)</f>
        <v>0.79166666666666674</v>
      </c>
      <c r="V72" s="23">
        <f>SUM(V67:V71)</f>
        <v>0</v>
      </c>
      <c r="W72" s="23">
        <f>SUM(W67:W71)</f>
        <v>0</v>
      </c>
      <c r="X72" s="26">
        <f>SUM(U72:W72)</f>
        <v>0.79166666666666674</v>
      </c>
      <c r="Y72" s="37" t="s">
        <v>57</v>
      </c>
    </row>
    <row r="73" spans="1:25" s="15" customForma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38"/>
    </row>
    <row r="74" spans="1:25" x14ac:dyDescent="0.25">
      <c r="A74" s="3" t="s">
        <v>58</v>
      </c>
      <c r="B74" s="3" t="s">
        <v>59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>
        <v>8</v>
      </c>
      <c r="O74" s="3"/>
      <c r="P74" s="3"/>
      <c r="Q74" s="3"/>
      <c r="R74" s="3"/>
      <c r="S74" s="3"/>
      <c r="T74" s="3">
        <f t="shared" ref="T74:T79" si="2">SUM(J74:S74)</f>
        <v>8</v>
      </c>
      <c r="U74" s="23">
        <f t="shared" ref="U74:U80" si="3">T74*45/1440</f>
        <v>0.25</v>
      </c>
      <c r="V74" s="3"/>
      <c r="W74" s="3"/>
      <c r="X74" s="23"/>
      <c r="Y74" s="3" t="s">
        <v>60</v>
      </c>
    </row>
    <row r="75" spans="1:25" x14ac:dyDescent="0.25">
      <c r="A75" s="3" t="s">
        <v>58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>
        <v>6</v>
      </c>
      <c r="O75" s="3"/>
      <c r="P75" s="3"/>
      <c r="Q75" s="3"/>
      <c r="R75" s="3"/>
      <c r="S75" s="3"/>
      <c r="T75" s="3">
        <f t="shared" si="2"/>
        <v>6</v>
      </c>
      <c r="U75" s="23">
        <f t="shared" si="3"/>
        <v>0.1875</v>
      </c>
      <c r="V75" s="3"/>
      <c r="W75" s="3"/>
      <c r="X75" s="23"/>
      <c r="Y75" s="3" t="s">
        <v>48</v>
      </c>
    </row>
    <row r="76" spans="1:25" x14ac:dyDescent="0.25">
      <c r="A76" s="3" t="s">
        <v>58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>
        <v>2</v>
      </c>
      <c r="O76" s="3"/>
      <c r="P76" s="3"/>
      <c r="Q76" s="3"/>
      <c r="R76" s="3"/>
      <c r="S76" s="3"/>
      <c r="T76" s="3">
        <f t="shared" si="2"/>
        <v>2</v>
      </c>
      <c r="U76" s="23">
        <f t="shared" si="3"/>
        <v>6.25E-2</v>
      </c>
      <c r="V76" s="3"/>
      <c r="W76" s="3"/>
      <c r="X76" s="23"/>
      <c r="Y76" s="3" t="s">
        <v>32</v>
      </c>
    </row>
    <row r="77" spans="1:25" x14ac:dyDescent="0.25">
      <c r="A77" s="3" t="s">
        <v>58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>
        <v>1</v>
      </c>
      <c r="O77" s="3"/>
      <c r="P77" s="3"/>
      <c r="Q77" s="3"/>
      <c r="R77" s="3"/>
      <c r="S77" s="3"/>
      <c r="T77" s="3">
        <f t="shared" si="2"/>
        <v>1</v>
      </c>
      <c r="U77" s="23">
        <f t="shared" si="3"/>
        <v>3.125E-2</v>
      </c>
      <c r="V77" s="3"/>
      <c r="W77" s="3"/>
      <c r="X77" s="23"/>
      <c r="Y77" s="3" t="s">
        <v>38</v>
      </c>
    </row>
    <row r="78" spans="1:25" x14ac:dyDescent="0.25">
      <c r="A78" s="3" t="s">
        <v>58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1</v>
      </c>
      <c r="O78" s="3"/>
      <c r="P78" s="3"/>
      <c r="Q78" s="3"/>
      <c r="R78" s="3"/>
      <c r="S78" s="3"/>
      <c r="T78" s="3">
        <f t="shared" si="2"/>
        <v>1</v>
      </c>
      <c r="U78" s="23">
        <f t="shared" si="3"/>
        <v>3.125E-2</v>
      </c>
      <c r="V78" s="3"/>
      <c r="W78" s="3"/>
      <c r="X78" s="23"/>
      <c r="Y78" s="3" t="s">
        <v>23</v>
      </c>
    </row>
    <row r="79" spans="1:25" x14ac:dyDescent="0.25">
      <c r="A79" s="3" t="s">
        <v>58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2</v>
      </c>
      <c r="O79" s="3"/>
      <c r="P79" s="3"/>
      <c r="Q79" s="3"/>
      <c r="R79" s="3"/>
      <c r="S79" s="3"/>
      <c r="T79" s="3">
        <f t="shared" si="2"/>
        <v>2</v>
      </c>
      <c r="U79" s="23">
        <f t="shared" si="3"/>
        <v>6.25E-2</v>
      </c>
      <c r="V79" s="3"/>
      <c r="W79" s="3"/>
      <c r="X79" s="23"/>
      <c r="Y79" s="19" t="s">
        <v>61</v>
      </c>
    </row>
    <row r="80" spans="1:25" x14ac:dyDescent="0.25">
      <c r="A80" s="3" t="s">
        <v>58</v>
      </c>
      <c r="B80" s="3"/>
      <c r="C80" s="3">
        <v>44</v>
      </c>
      <c r="D80" s="3">
        <v>41</v>
      </c>
      <c r="E80" s="3"/>
      <c r="F80" s="3"/>
      <c r="G80" s="3"/>
      <c r="H80" s="3">
        <v>3</v>
      </c>
      <c r="I80" s="3"/>
      <c r="J80" s="3"/>
      <c r="K80" s="3"/>
      <c r="L80" s="3">
        <v>0</v>
      </c>
      <c r="M80" s="3">
        <v>0</v>
      </c>
      <c r="N80" s="3"/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13"/>
      <c r="U80" s="23">
        <f t="shared" si="3"/>
        <v>0</v>
      </c>
      <c r="V80" s="3">
        <v>0</v>
      </c>
      <c r="W80" s="25">
        <v>0.125</v>
      </c>
      <c r="X80" s="23"/>
      <c r="Y80" t="s">
        <v>62</v>
      </c>
    </row>
    <row r="81" spans="1:25" x14ac:dyDescent="0.25">
      <c r="A81" s="3" t="s">
        <v>63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13"/>
      <c r="U81" s="26">
        <v>0.66666666666666663</v>
      </c>
      <c r="V81" s="3"/>
      <c r="W81" s="25"/>
      <c r="X81" s="23"/>
    </row>
    <row r="82" spans="1:25" x14ac:dyDescent="0.25">
      <c r="A82" s="3" t="s">
        <v>26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13"/>
      <c r="U82" s="23">
        <v>7.0833333333333331E-2</v>
      </c>
      <c r="V82" s="3"/>
      <c r="W82" s="3"/>
      <c r="X82" s="23"/>
    </row>
    <row r="83" spans="1:25" x14ac:dyDescent="0.25">
      <c r="A83" s="3" t="s">
        <v>27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13"/>
      <c r="U83" s="23">
        <f>T83*45/1440</f>
        <v>0</v>
      </c>
      <c r="V83" s="3"/>
      <c r="W83" s="3"/>
      <c r="X83" s="23"/>
    </row>
    <row r="84" spans="1:25" x14ac:dyDescent="0.25">
      <c r="A84" s="3" t="s">
        <v>28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13"/>
      <c r="U84" s="23">
        <v>0.34583333333333333</v>
      </c>
      <c r="V84" s="3"/>
      <c r="W84" s="3"/>
      <c r="X84" s="23"/>
    </row>
    <row r="85" spans="1:25" x14ac:dyDescent="0.25">
      <c r="A85" s="3" t="s">
        <v>29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13"/>
      <c r="U85" s="23">
        <f>T85*45/1440</f>
        <v>0</v>
      </c>
      <c r="V85" s="3"/>
      <c r="W85" s="3"/>
      <c r="X85" s="23"/>
    </row>
    <row r="86" spans="1:25" x14ac:dyDescent="0.25">
      <c r="A86" s="3" t="s">
        <v>30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3"/>
      <c r="U86" s="23">
        <f>SUM(U74:U85)</f>
        <v>1.708333333333333</v>
      </c>
      <c r="V86" s="23">
        <f>SUM(V74:V85)</f>
        <v>0</v>
      </c>
      <c r="W86" s="23">
        <f>SUM(W74:W85)</f>
        <v>0.125</v>
      </c>
      <c r="X86" s="26">
        <f>SUM(U86:W86)</f>
        <v>1.833333333333333</v>
      </c>
    </row>
    <row r="87" spans="1:25" s="15" customForma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38"/>
    </row>
    <row r="88" spans="1:25" x14ac:dyDescent="0.25">
      <c r="A88" s="3" t="s">
        <v>64</v>
      </c>
      <c r="B88" s="3" t="s">
        <v>65</v>
      </c>
      <c r="C88" s="3">
        <v>44</v>
      </c>
      <c r="D88" s="3">
        <v>44</v>
      </c>
      <c r="E88" s="3"/>
      <c r="F88" s="3"/>
      <c r="G88" s="3"/>
      <c r="H88" s="3"/>
      <c r="I88" s="3"/>
      <c r="J88" s="3">
        <v>0</v>
      </c>
      <c r="K88" s="13">
        <v>38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13">
        <f>SUM(J88:S88)</f>
        <v>38</v>
      </c>
      <c r="U88" s="23">
        <f>T88*45/1440</f>
        <v>1.1875</v>
      </c>
      <c r="V88" s="3">
        <v>0</v>
      </c>
      <c r="W88" s="3">
        <v>0</v>
      </c>
      <c r="X88" s="23"/>
      <c r="Y88" t="s">
        <v>62</v>
      </c>
    </row>
    <row r="89" spans="1:25" x14ac:dyDescent="0.25">
      <c r="A89" s="13" t="s">
        <v>63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26"/>
      <c r="V89" s="13"/>
      <c r="W89" s="13"/>
      <c r="X89" s="26"/>
    </row>
    <row r="90" spans="1:25" x14ac:dyDescent="0.25">
      <c r="A90" s="3" t="s">
        <v>26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3"/>
      <c r="U90" s="23">
        <f>T90*45/1440</f>
        <v>0</v>
      </c>
      <c r="V90" s="3"/>
      <c r="W90" s="3"/>
      <c r="X90" s="23"/>
    </row>
    <row r="91" spans="1:25" x14ac:dyDescent="0.25">
      <c r="A91" s="3" t="s">
        <v>27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3"/>
      <c r="U91" s="23">
        <v>0.125</v>
      </c>
      <c r="V91" s="3"/>
      <c r="W91" s="3"/>
      <c r="X91" s="23"/>
    </row>
    <row r="92" spans="1:25" x14ac:dyDescent="0.25">
      <c r="A92" s="3" t="s">
        <v>28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3"/>
      <c r="U92" s="23">
        <f>T92*45/1440</f>
        <v>0</v>
      </c>
      <c r="V92" s="3"/>
      <c r="W92" s="3"/>
      <c r="X92" s="23"/>
    </row>
    <row r="93" spans="1:25" x14ac:dyDescent="0.25">
      <c r="A93" s="3" t="s">
        <v>29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3"/>
      <c r="U93" s="23">
        <v>0.52083333333333337</v>
      </c>
      <c r="V93" s="3"/>
      <c r="W93" s="3"/>
      <c r="X93" s="23"/>
    </row>
    <row r="94" spans="1:25" x14ac:dyDescent="0.25">
      <c r="A94" s="3" t="s">
        <v>30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3"/>
      <c r="U94" s="23">
        <f>SUM(U88:U93)</f>
        <v>1.8333333333333335</v>
      </c>
      <c r="V94" s="3"/>
      <c r="W94" s="3"/>
      <c r="X94" s="23">
        <f>SUM(U94:W94)</f>
        <v>1.8333333333333335</v>
      </c>
    </row>
    <row r="95" spans="1:25" s="15" customForma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38"/>
    </row>
    <row r="96" spans="1:25" x14ac:dyDescent="0.25">
      <c r="A96" s="3" t="s">
        <v>66</v>
      </c>
      <c r="B96" s="3" t="s">
        <v>67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>
        <v>3</v>
      </c>
      <c r="P96" s="3"/>
      <c r="Q96" s="3"/>
      <c r="R96" s="3"/>
      <c r="S96" s="3"/>
      <c r="T96" s="3">
        <f t="shared" ref="T96:T101" si="4">SUM(J96:S96)</f>
        <v>3</v>
      </c>
      <c r="U96" s="23">
        <f t="shared" ref="U96:U101" si="5">T96*45/1440</f>
        <v>9.375E-2</v>
      </c>
      <c r="V96" s="3"/>
      <c r="W96" s="3"/>
      <c r="X96" s="23"/>
      <c r="Y96" s="3" t="s">
        <v>35</v>
      </c>
    </row>
    <row r="97" spans="1:25" x14ac:dyDescent="0.25">
      <c r="A97" s="3" t="s">
        <v>66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>
        <v>2</v>
      </c>
      <c r="P97" s="3"/>
      <c r="Q97" s="3"/>
      <c r="R97" s="3"/>
      <c r="S97" s="3"/>
      <c r="T97" s="3">
        <f t="shared" si="4"/>
        <v>2</v>
      </c>
      <c r="U97" s="23">
        <f t="shared" si="5"/>
        <v>6.25E-2</v>
      </c>
      <c r="V97" s="3"/>
      <c r="W97" s="3"/>
      <c r="X97" s="23"/>
      <c r="Y97" s="3" t="s">
        <v>36</v>
      </c>
    </row>
    <row r="98" spans="1:25" x14ac:dyDescent="0.25">
      <c r="A98" s="3" t="s">
        <v>66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>
        <v>1</v>
      </c>
      <c r="P98" s="3"/>
      <c r="Q98" s="3"/>
      <c r="R98" s="3"/>
      <c r="S98" s="3"/>
      <c r="T98" s="3">
        <f t="shared" si="4"/>
        <v>1</v>
      </c>
      <c r="U98" s="23">
        <f t="shared" si="5"/>
        <v>3.125E-2</v>
      </c>
      <c r="V98" s="3"/>
      <c r="W98" s="3"/>
      <c r="X98" s="23"/>
      <c r="Y98" s="3" t="s">
        <v>68</v>
      </c>
    </row>
    <row r="99" spans="1:25" x14ac:dyDescent="0.25">
      <c r="A99" s="3" t="s">
        <v>66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>
        <v>1</v>
      </c>
      <c r="P99" s="3"/>
      <c r="Q99" s="3"/>
      <c r="R99" s="3"/>
      <c r="S99" s="3"/>
      <c r="T99" s="3">
        <f t="shared" si="4"/>
        <v>1</v>
      </c>
      <c r="U99" s="23">
        <f t="shared" si="5"/>
        <v>3.125E-2</v>
      </c>
      <c r="V99" s="3"/>
      <c r="W99" s="3"/>
      <c r="X99" s="23"/>
      <c r="Y99" s="3" t="s">
        <v>23</v>
      </c>
    </row>
    <row r="100" spans="1:25" x14ac:dyDescent="0.25">
      <c r="A100" s="3" t="s">
        <v>66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v>2</v>
      </c>
      <c r="P100" s="3"/>
      <c r="Q100" s="3"/>
      <c r="R100" s="3"/>
      <c r="S100" s="3"/>
      <c r="T100" s="3">
        <f t="shared" si="4"/>
        <v>2</v>
      </c>
      <c r="U100" s="23">
        <f t="shared" si="5"/>
        <v>6.25E-2</v>
      </c>
      <c r="V100" s="3"/>
      <c r="W100" s="3"/>
      <c r="X100" s="23"/>
      <c r="Y100" s="3" t="s">
        <v>69</v>
      </c>
    </row>
    <row r="101" spans="1:25" x14ac:dyDescent="0.25">
      <c r="A101" s="3" t="s">
        <v>66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>
        <v>2</v>
      </c>
      <c r="M101" s="3"/>
      <c r="N101" s="3"/>
      <c r="O101" s="3"/>
      <c r="P101" s="3"/>
      <c r="Q101" s="3"/>
      <c r="R101" s="3"/>
      <c r="S101" s="3"/>
      <c r="T101" s="3">
        <f t="shared" si="4"/>
        <v>2</v>
      </c>
      <c r="U101" s="23">
        <f>T101*45/1440</f>
        <v>6.25E-2</v>
      </c>
      <c r="V101" s="3"/>
      <c r="W101" s="3"/>
      <c r="X101" s="23"/>
      <c r="Y101" s="3" t="s">
        <v>70</v>
      </c>
    </row>
    <row r="102" spans="1:25" x14ac:dyDescent="0.25">
      <c r="A102" s="3" t="s">
        <v>66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23">
        <v>1.0833333333333333</v>
      </c>
      <c r="V102" s="3"/>
      <c r="W102" s="3"/>
      <c r="X102" s="23"/>
      <c r="Y102" s="34" t="s">
        <v>71</v>
      </c>
    </row>
    <row r="103" spans="1:25" x14ac:dyDescent="0.25">
      <c r="A103" s="3" t="s">
        <v>66</v>
      </c>
      <c r="B103" s="3"/>
      <c r="C103" s="3">
        <v>44</v>
      </c>
      <c r="D103" s="3">
        <v>41</v>
      </c>
      <c r="E103" s="3"/>
      <c r="F103" s="3"/>
      <c r="G103" s="3"/>
      <c r="H103" s="3">
        <v>3</v>
      </c>
      <c r="I103" s="3"/>
      <c r="J103" s="3"/>
      <c r="K103" s="3"/>
      <c r="L103" s="3">
        <v>2</v>
      </c>
      <c r="M103" s="3">
        <v>0</v>
      </c>
      <c r="N103" s="3">
        <v>0</v>
      </c>
      <c r="O103" s="3">
        <v>9</v>
      </c>
      <c r="P103" s="3">
        <v>0</v>
      </c>
      <c r="Q103" s="3">
        <v>0</v>
      </c>
      <c r="R103" s="3">
        <v>0</v>
      </c>
      <c r="S103" s="3">
        <v>0</v>
      </c>
      <c r="T103" s="13"/>
      <c r="U103" s="23"/>
      <c r="V103" s="3">
        <v>0</v>
      </c>
      <c r="W103" s="25">
        <v>0.125</v>
      </c>
      <c r="X103" s="23"/>
    </row>
    <row r="104" spans="1:25" x14ac:dyDescent="0.25">
      <c r="A104" s="3" t="s">
        <v>26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3"/>
      <c r="U104" s="23">
        <v>3.9583333333333331E-2</v>
      </c>
      <c r="V104" s="3"/>
      <c r="W104" s="3"/>
      <c r="X104" s="23"/>
    </row>
    <row r="105" spans="1:25" x14ac:dyDescent="0.25">
      <c r="A105" s="3" t="s">
        <v>27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3"/>
      <c r="U105" s="23"/>
      <c r="V105" s="3"/>
      <c r="W105" s="3"/>
      <c r="X105" s="23"/>
    </row>
    <row r="106" spans="1:25" x14ac:dyDescent="0.25">
      <c r="A106" s="3" t="s">
        <v>28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3"/>
      <c r="U106" s="23">
        <v>0.2</v>
      </c>
      <c r="V106" s="3"/>
      <c r="W106" s="3"/>
      <c r="X106" s="23"/>
    </row>
    <row r="107" spans="1:25" x14ac:dyDescent="0.25">
      <c r="A107" s="3" t="s">
        <v>29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3"/>
      <c r="U107" s="23"/>
      <c r="V107" s="3"/>
      <c r="W107" s="3"/>
      <c r="X107" s="23"/>
    </row>
    <row r="108" spans="1:25" x14ac:dyDescent="0.25">
      <c r="A108" s="3" t="s">
        <v>30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3"/>
      <c r="U108" s="23">
        <f>SUM(U96:U107)</f>
        <v>1.6666666666666665</v>
      </c>
      <c r="V108" s="23">
        <f>SUM(V96:V107)</f>
        <v>0</v>
      </c>
      <c r="W108" s="23">
        <f>SUM(W96:W107)</f>
        <v>0.125</v>
      </c>
      <c r="X108" s="26">
        <f>SUM(U108:W108)</f>
        <v>1.7916666666666665</v>
      </c>
      <c r="Y108" s="35">
        <v>1.8333333333333333</v>
      </c>
    </row>
    <row r="109" spans="1:25" s="15" customForma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38"/>
    </row>
    <row r="110" spans="1:25" x14ac:dyDescent="0.25">
      <c r="A110" s="3" t="s">
        <v>72</v>
      </c>
      <c r="B110" s="4" t="s">
        <v>73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>
        <v>3</v>
      </c>
      <c r="P110" s="3">
        <v>4</v>
      </c>
      <c r="Q110" s="3">
        <v>4</v>
      </c>
      <c r="R110" s="3">
        <v>4</v>
      </c>
      <c r="S110" s="3">
        <v>4</v>
      </c>
      <c r="T110" s="3">
        <f>SUM(J110:S110)</f>
        <v>19</v>
      </c>
      <c r="U110" s="23">
        <f>T110*45/1440</f>
        <v>0.59375</v>
      </c>
      <c r="V110" s="3"/>
      <c r="W110" s="3"/>
      <c r="X110" s="23"/>
      <c r="Y110" t="s">
        <v>74</v>
      </c>
    </row>
    <row r="111" spans="1:25" x14ac:dyDescent="0.25">
      <c r="A111" s="3" t="s">
        <v>72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3">
        <v>4.1666666666666664E-2</v>
      </c>
      <c r="V111" s="3"/>
      <c r="W111" s="3"/>
      <c r="X111" s="23"/>
      <c r="Y111" t="s">
        <v>75</v>
      </c>
    </row>
    <row r="112" spans="1:25" x14ac:dyDescent="0.25">
      <c r="A112" s="3" t="s">
        <v>72</v>
      </c>
      <c r="B112" s="4"/>
      <c r="C112" s="3">
        <v>24</v>
      </c>
      <c r="D112" s="3">
        <v>24</v>
      </c>
      <c r="E112" s="3"/>
      <c r="F112" s="3"/>
      <c r="G112" s="3"/>
      <c r="H112" s="3"/>
      <c r="I112" s="3"/>
      <c r="J112" s="3"/>
      <c r="K112" s="3"/>
      <c r="L112" s="3">
        <v>0</v>
      </c>
      <c r="M112" s="3">
        <v>0</v>
      </c>
      <c r="N112" s="3">
        <v>0</v>
      </c>
      <c r="O112" s="3">
        <v>3</v>
      </c>
      <c r="P112" s="3">
        <v>4</v>
      </c>
      <c r="Q112" s="3">
        <v>4</v>
      </c>
      <c r="R112" s="3">
        <v>4</v>
      </c>
      <c r="S112" s="3">
        <v>4</v>
      </c>
      <c r="T112" s="13"/>
      <c r="U112" s="23">
        <f>T112*45/1440</f>
        <v>0</v>
      </c>
      <c r="V112" s="3">
        <v>0</v>
      </c>
      <c r="W112" s="3">
        <v>0</v>
      </c>
      <c r="X112" s="23"/>
    </row>
    <row r="113" spans="1:25" x14ac:dyDescent="0.25">
      <c r="A113" s="3" t="s">
        <v>26</v>
      </c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3"/>
      <c r="U113" s="23">
        <v>1.1111111111111112E-2</v>
      </c>
      <c r="V113" s="3"/>
      <c r="W113" s="3"/>
      <c r="X113" s="23"/>
    </row>
    <row r="114" spans="1:25" x14ac:dyDescent="0.25">
      <c r="A114" s="3" t="s">
        <v>27</v>
      </c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3"/>
      <c r="U114" s="23">
        <v>5.1388888888888887E-2</v>
      </c>
      <c r="V114" s="3"/>
      <c r="W114" s="3"/>
      <c r="X114" s="23"/>
    </row>
    <row r="115" spans="1:25" x14ac:dyDescent="0.25">
      <c r="A115" s="3" t="s">
        <v>28</v>
      </c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3"/>
      <c r="U115" s="23">
        <v>6.1805555555555558E-2</v>
      </c>
      <c r="V115" s="3"/>
      <c r="W115" s="3"/>
      <c r="X115" s="23"/>
    </row>
    <row r="116" spans="1:25" x14ac:dyDescent="0.25">
      <c r="A116" s="3" t="s">
        <v>29</v>
      </c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3"/>
      <c r="U116" s="23">
        <v>0.1986111111111111</v>
      </c>
      <c r="V116" s="3"/>
      <c r="W116" s="3"/>
      <c r="X116" s="23"/>
    </row>
    <row r="117" spans="1:25" x14ac:dyDescent="0.25">
      <c r="A117" s="3" t="s">
        <v>30</v>
      </c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3"/>
      <c r="U117" s="23">
        <f>SUM(U110:U116)</f>
        <v>0.95833333333333326</v>
      </c>
      <c r="V117" s="3"/>
      <c r="W117" s="3"/>
      <c r="X117" s="26">
        <f>SUM(U117:W117)</f>
        <v>0.95833333333333326</v>
      </c>
    </row>
    <row r="118" spans="1:25" s="15" customFormat="1" x14ac:dyDescent="0.25">
      <c r="A118" s="14"/>
      <c r="B118" s="20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38"/>
    </row>
    <row r="119" spans="1:25" x14ac:dyDescent="0.25">
      <c r="A119" s="3" t="s">
        <v>76</v>
      </c>
      <c r="B119" s="3" t="s">
        <v>77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>
        <v>4</v>
      </c>
      <c r="Q119" s="3">
        <v>4</v>
      </c>
      <c r="R119" s="3">
        <v>4</v>
      </c>
      <c r="S119" s="3">
        <v>4</v>
      </c>
      <c r="T119" s="3">
        <f>SUM(J119:S119)</f>
        <v>16</v>
      </c>
      <c r="U119" s="23">
        <f>T119*45/1440</f>
        <v>0.5</v>
      </c>
      <c r="V119" s="3"/>
      <c r="W119" s="3"/>
      <c r="X119" s="23"/>
      <c r="Y119" t="s">
        <v>35</v>
      </c>
    </row>
    <row r="120" spans="1:25" x14ac:dyDescent="0.25">
      <c r="A120" s="3" t="s">
        <v>76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>
        <v>2</v>
      </c>
      <c r="Q120" s="3">
        <v>2</v>
      </c>
      <c r="R120" s="3">
        <v>2</v>
      </c>
      <c r="S120" s="3">
        <v>2</v>
      </c>
      <c r="T120" s="3">
        <f>SUM(J120:S120)</f>
        <v>8</v>
      </c>
      <c r="U120" s="23">
        <f>T120*45/1440</f>
        <v>0.25</v>
      </c>
      <c r="V120" s="3"/>
      <c r="W120" s="3"/>
      <c r="X120" s="23"/>
      <c r="Y120" t="s">
        <v>36</v>
      </c>
    </row>
    <row r="121" spans="1:25" x14ac:dyDescent="0.25">
      <c r="A121" s="3" t="s">
        <v>76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>
        <v>1</v>
      </c>
      <c r="S121" s="3"/>
      <c r="T121" s="3">
        <f>SUM(J121:S121)</f>
        <v>1</v>
      </c>
      <c r="U121" s="23">
        <f>T121*45/1440</f>
        <v>3.125E-2</v>
      </c>
      <c r="V121" s="3"/>
      <c r="W121" s="3"/>
      <c r="X121" s="23"/>
      <c r="Y121" t="s">
        <v>23</v>
      </c>
    </row>
    <row r="122" spans="1:25" x14ac:dyDescent="0.25">
      <c r="A122" s="3" t="s">
        <v>76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>
        <v>1</v>
      </c>
      <c r="S122" s="3"/>
      <c r="T122" s="3">
        <f>SUM(J122:S122)</f>
        <v>1</v>
      </c>
      <c r="U122" s="23">
        <f>T122*45/1440</f>
        <v>3.125E-2</v>
      </c>
      <c r="V122" s="3"/>
      <c r="W122" s="3"/>
      <c r="X122" s="23"/>
      <c r="Y122" t="s">
        <v>38</v>
      </c>
    </row>
    <row r="123" spans="1:25" x14ac:dyDescent="0.25">
      <c r="A123" s="3" t="s">
        <v>76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>
        <v>2</v>
      </c>
      <c r="S123" s="3">
        <v>2</v>
      </c>
      <c r="T123" s="3">
        <f>SUM(J123:S123)</f>
        <v>4</v>
      </c>
      <c r="U123" s="23">
        <f>T123*45/1440</f>
        <v>0.125</v>
      </c>
      <c r="V123" s="3"/>
      <c r="W123" s="3"/>
      <c r="X123" s="23"/>
      <c r="Y123" t="s">
        <v>69</v>
      </c>
    </row>
    <row r="124" spans="1:25" x14ac:dyDescent="0.25">
      <c r="A124" s="3" t="s">
        <v>76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3"/>
      <c r="V124" s="3"/>
      <c r="W124" s="3"/>
      <c r="X124" s="23"/>
      <c r="Y124" t="s">
        <v>78</v>
      </c>
    </row>
    <row r="125" spans="1:25" x14ac:dyDescent="0.25">
      <c r="A125" s="3" t="s">
        <v>76</v>
      </c>
      <c r="B125" s="3"/>
      <c r="C125" s="3">
        <v>44</v>
      </c>
      <c r="D125" s="3">
        <v>35</v>
      </c>
      <c r="E125" s="3"/>
      <c r="F125" s="3"/>
      <c r="G125" s="3">
        <v>6</v>
      </c>
      <c r="H125" s="3">
        <v>3</v>
      </c>
      <c r="I125" s="3"/>
      <c r="J125" s="3"/>
      <c r="K125" s="3"/>
      <c r="L125" s="3">
        <v>0</v>
      </c>
      <c r="M125" s="3">
        <v>0</v>
      </c>
      <c r="N125" s="3">
        <v>0</v>
      </c>
      <c r="O125" s="3">
        <v>0</v>
      </c>
      <c r="P125" s="3">
        <v>6</v>
      </c>
      <c r="Q125" s="3">
        <v>6</v>
      </c>
      <c r="R125" s="3">
        <v>10</v>
      </c>
      <c r="S125" s="3">
        <v>8</v>
      </c>
      <c r="T125" s="13"/>
      <c r="U125" s="23"/>
      <c r="V125" s="25">
        <v>0.25</v>
      </c>
      <c r="W125" s="25">
        <v>0.125</v>
      </c>
      <c r="X125" s="23"/>
    </row>
    <row r="126" spans="1:25" x14ac:dyDescent="0.25">
      <c r="A126" s="3" t="s">
        <v>26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3"/>
      <c r="U126" s="23"/>
      <c r="V126" s="3"/>
      <c r="W126" s="3"/>
      <c r="X126" s="23"/>
    </row>
    <row r="127" spans="1:25" x14ac:dyDescent="0.25">
      <c r="A127" s="3" t="s">
        <v>27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3"/>
      <c r="U127" s="23">
        <v>9.930555555555555E-2</v>
      </c>
      <c r="V127" s="3"/>
      <c r="W127" s="3"/>
      <c r="X127" s="23"/>
    </row>
    <row r="128" spans="1:25" x14ac:dyDescent="0.25">
      <c r="A128" s="3" t="s">
        <v>28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3"/>
      <c r="U128" s="23"/>
      <c r="V128" s="3"/>
      <c r="W128" s="3"/>
      <c r="X128" s="23"/>
    </row>
    <row r="129" spans="1:25" x14ac:dyDescent="0.25">
      <c r="A129" s="3" t="s">
        <v>29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3"/>
      <c r="U129" s="23">
        <v>0.42152777777777778</v>
      </c>
      <c r="V129" s="3"/>
      <c r="W129" s="3"/>
      <c r="X129" s="23"/>
    </row>
    <row r="130" spans="1:25" x14ac:dyDescent="0.25">
      <c r="A130" s="3" t="s">
        <v>30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3"/>
      <c r="U130" s="23">
        <f>SUM(U119:U129)</f>
        <v>1.4583333333333333</v>
      </c>
      <c r="V130" s="23">
        <f>SUM(V119:V129)</f>
        <v>0.25</v>
      </c>
      <c r="W130" s="23">
        <f>SUM(W119:W129)</f>
        <v>0.125</v>
      </c>
      <c r="X130" s="23">
        <f>SUM(U130:W130)</f>
        <v>1.8333333333333333</v>
      </c>
    </row>
    <row r="131" spans="1:25" s="15" customForma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38"/>
    </row>
    <row r="132" spans="1:25" x14ac:dyDescent="0.25">
      <c r="A132" s="3" t="s">
        <v>79</v>
      </c>
      <c r="B132" s="3" t="s">
        <v>80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>
        <v>2</v>
      </c>
      <c r="N132" s="3"/>
      <c r="O132" s="3"/>
      <c r="P132" s="3"/>
      <c r="Q132" s="3"/>
      <c r="R132" s="3"/>
      <c r="S132" s="3"/>
      <c r="T132" s="3">
        <f>SUM(J132:S132)</f>
        <v>2</v>
      </c>
      <c r="U132" s="23">
        <f>T132*45/1440</f>
        <v>6.25E-2</v>
      </c>
      <c r="V132" s="3"/>
      <c r="W132" s="3"/>
      <c r="X132" s="23"/>
      <c r="Y132" t="s">
        <v>44</v>
      </c>
    </row>
    <row r="133" spans="1:25" x14ac:dyDescent="0.25">
      <c r="A133" s="3" t="s">
        <v>79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</v>
      </c>
      <c r="R133" s="3">
        <v>2</v>
      </c>
      <c r="S133" s="3">
        <v>2</v>
      </c>
      <c r="T133" s="3">
        <f>SUM(J133:S133)</f>
        <v>6</v>
      </c>
      <c r="U133" s="23">
        <f>T133*45/1440</f>
        <v>0.1875</v>
      </c>
      <c r="V133" s="3"/>
      <c r="W133" s="3"/>
      <c r="X133" s="23"/>
      <c r="Y133" t="s">
        <v>81</v>
      </c>
    </row>
    <row r="134" spans="1:25" x14ac:dyDescent="0.25">
      <c r="A134" s="3" t="s">
        <v>79</v>
      </c>
      <c r="B134" s="3"/>
      <c r="C134" s="3">
        <v>9</v>
      </c>
      <c r="D134" s="3"/>
      <c r="E134" s="3">
        <v>9</v>
      </c>
      <c r="F134" s="3"/>
      <c r="G134" s="3"/>
      <c r="H134" s="3"/>
      <c r="I134" s="3"/>
      <c r="J134" s="3"/>
      <c r="K134" s="3"/>
      <c r="L134" s="3"/>
      <c r="M134" s="3">
        <v>2</v>
      </c>
      <c r="N134" s="3"/>
      <c r="O134" s="3"/>
      <c r="P134" s="3"/>
      <c r="Q134" s="3">
        <v>2</v>
      </c>
      <c r="R134" s="3">
        <v>2</v>
      </c>
      <c r="S134" s="3">
        <v>2</v>
      </c>
      <c r="T134" s="13"/>
      <c r="U134" s="23"/>
      <c r="V134" s="3">
        <v>0</v>
      </c>
      <c r="W134" s="3">
        <v>0</v>
      </c>
      <c r="X134" s="23"/>
    </row>
    <row r="135" spans="1:25" x14ac:dyDescent="0.25">
      <c r="A135" s="3" t="s">
        <v>26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3"/>
      <c r="U135" s="23">
        <v>5.5555555555555558E-3</v>
      </c>
      <c r="V135" s="3"/>
      <c r="W135" s="3"/>
      <c r="X135" s="23"/>
    </row>
    <row r="136" spans="1:25" x14ac:dyDescent="0.25">
      <c r="A136" s="3" t="s">
        <v>27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3"/>
      <c r="U136" s="23">
        <v>2.013888888888889E-2</v>
      </c>
      <c r="V136" s="3"/>
      <c r="W136" s="3"/>
      <c r="X136" s="23"/>
    </row>
    <row r="137" spans="1:25" x14ac:dyDescent="0.25">
      <c r="A137" s="3" t="s">
        <v>28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3"/>
      <c r="U137" s="23">
        <v>1.5277777777777777E-2</v>
      </c>
      <c r="V137" s="3"/>
      <c r="W137" s="3"/>
      <c r="X137" s="23"/>
    </row>
    <row r="138" spans="1:25" x14ac:dyDescent="0.25">
      <c r="A138" s="3" t="s">
        <v>29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3"/>
      <c r="U138" s="23">
        <v>8.4027777777777785E-2</v>
      </c>
      <c r="V138" s="3"/>
      <c r="W138" s="3"/>
      <c r="X138" s="23"/>
    </row>
    <row r="139" spans="1:25" x14ac:dyDescent="0.25">
      <c r="A139" s="3" t="s">
        <v>30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3"/>
      <c r="U139" s="23">
        <f>SUM(U132:U138)</f>
        <v>0.375</v>
      </c>
      <c r="V139" s="3"/>
      <c r="W139" s="3"/>
      <c r="X139" s="23">
        <f>SUM(U139:W139)</f>
        <v>0.375</v>
      </c>
    </row>
    <row r="140" spans="1:25" s="15" customForma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38"/>
    </row>
    <row r="141" spans="1:25" x14ac:dyDescent="0.25">
      <c r="A141" s="3" t="s">
        <v>82</v>
      </c>
      <c r="B141" s="3" t="s">
        <v>83</v>
      </c>
      <c r="C141" s="3"/>
      <c r="D141" s="3"/>
      <c r="E141" s="3"/>
      <c r="F141" s="3"/>
      <c r="G141" s="3"/>
      <c r="H141" s="3"/>
      <c r="I141" s="3"/>
      <c r="J141" s="3"/>
      <c r="K141" s="3"/>
      <c r="L141" s="3">
        <v>8</v>
      </c>
      <c r="M141" s="3">
        <v>8</v>
      </c>
      <c r="N141" s="3"/>
      <c r="O141" s="3"/>
      <c r="P141" s="3"/>
      <c r="Q141" s="3"/>
      <c r="R141" s="3"/>
      <c r="S141" s="3"/>
      <c r="T141" s="3">
        <f t="shared" ref="T141:T147" si="6">SUM(L141:S141)</f>
        <v>16</v>
      </c>
      <c r="U141" s="28">
        <f>T141*45/1440</f>
        <v>0.5</v>
      </c>
      <c r="V141" s="28"/>
      <c r="W141" s="28"/>
      <c r="X141" s="23"/>
      <c r="Y141" t="s">
        <v>84</v>
      </c>
    </row>
    <row r="142" spans="1:2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>
        <v>6</v>
      </c>
      <c r="N142" s="3"/>
      <c r="O142" s="3"/>
      <c r="P142" s="3"/>
      <c r="Q142" s="3"/>
      <c r="R142" s="3"/>
      <c r="S142" s="3"/>
      <c r="T142" s="3">
        <f t="shared" si="6"/>
        <v>6</v>
      </c>
      <c r="U142" s="28">
        <f t="shared" ref="U142:U147" si="7">T142*45/1440</f>
        <v>0.1875</v>
      </c>
      <c r="V142" s="28"/>
      <c r="W142" s="28"/>
      <c r="X142" s="23"/>
      <c r="Y142" t="s">
        <v>48</v>
      </c>
    </row>
    <row r="143" spans="1:2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>
        <v>3</v>
      </c>
      <c r="N143" s="3"/>
      <c r="O143" s="3"/>
      <c r="P143" s="3"/>
      <c r="Q143" s="3"/>
      <c r="R143" s="3"/>
      <c r="S143" s="3"/>
      <c r="T143" s="3">
        <f t="shared" si="6"/>
        <v>3</v>
      </c>
      <c r="U143" s="28">
        <f t="shared" si="7"/>
        <v>9.375E-2</v>
      </c>
      <c r="V143" s="28"/>
      <c r="W143" s="28"/>
      <c r="X143" s="23"/>
      <c r="Y143" t="s">
        <v>35</v>
      </c>
    </row>
    <row r="144" spans="1:2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>
        <v>1</v>
      </c>
      <c r="N144" s="3"/>
      <c r="O144" s="3"/>
      <c r="P144" s="3"/>
      <c r="Q144" s="3"/>
      <c r="R144" s="3"/>
      <c r="S144" s="3"/>
      <c r="T144" s="3">
        <f t="shared" si="6"/>
        <v>1</v>
      </c>
      <c r="U144" s="28">
        <f t="shared" si="7"/>
        <v>3.125E-2</v>
      </c>
      <c r="V144" s="28"/>
      <c r="W144" s="28"/>
      <c r="X144" s="23"/>
      <c r="Y144" t="s">
        <v>68</v>
      </c>
    </row>
    <row r="145" spans="1:2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>
        <v>1</v>
      </c>
      <c r="N145" s="3"/>
      <c r="O145" s="3"/>
      <c r="P145" s="3"/>
      <c r="Q145" s="3"/>
      <c r="R145" s="3"/>
      <c r="S145" s="3"/>
      <c r="T145" s="3">
        <f t="shared" si="6"/>
        <v>1</v>
      </c>
      <c r="U145" s="28">
        <f t="shared" si="7"/>
        <v>3.125E-2</v>
      </c>
      <c r="V145" s="28"/>
      <c r="W145" s="28"/>
      <c r="X145" s="23"/>
      <c r="Y145" t="s">
        <v>23</v>
      </c>
    </row>
    <row r="146" spans="1:2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>
        <v>2</v>
      </c>
      <c r="N146" s="3"/>
      <c r="O146" s="3"/>
      <c r="P146" s="3"/>
      <c r="Q146" s="3"/>
      <c r="R146" s="3"/>
      <c r="S146" s="3"/>
      <c r="T146" s="3">
        <f t="shared" si="6"/>
        <v>2</v>
      </c>
      <c r="U146" s="28">
        <f t="shared" si="7"/>
        <v>6.25E-2</v>
      </c>
      <c r="V146" s="28"/>
      <c r="W146" s="28"/>
      <c r="X146" s="23"/>
      <c r="Y146" t="s">
        <v>69</v>
      </c>
    </row>
    <row r="147" spans="1:2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>
        <v>2</v>
      </c>
      <c r="N147" s="3"/>
      <c r="O147" s="3"/>
      <c r="P147" s="3"/>
      <c r="Q147" s="3"/>
      <c r="R147" s="3"/>
      <c r="S147" s="3"/>
      <c r="T147" s="3">
        <f t="shared" si="6"/>
        <v>2</v>
      </c>
      <c r="U147" s="28">
        <f t="shared" si="7"/>
        <v>6.25E-2</v>
      </c>
      <c r="V147" s="28"/>
      <c r="W147" s="28"/>
      <c r="X147" s="23"/>
      <c r="Y147" s="3" t="s">
        <v>70</v>
      </c>
    </row>
    <row r="148" spans="1:25" x14ac:dyDescent="0.25">
      <c r="A148" s="3" t="s">
        <v>26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8">
        <v>0.1111111111111111</v>
      </c>
      <c r="V148" s="28"/>
      <c r="W148" s="28"/>
      <c r="X148" s="23"/>
    </row>
    <row r="149" spans="1:25" x14ac:dyDescent="0.25">
      <c r="A149" s="3" t="s">
        <v>27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8"/>
      <c r="V149" s="28"/>
      <c r="W149" s="28"/>
      <c r="X149" s="23"/>
    </row>
    <row r="150" spans="1:25" x14ac:dyDescent="0.25">
      <c r="A150" s="3" t="s">
        <v>28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8">
        <v>0.54513888888888884</v>
      </c>
      <c r="V150" s="28"/>
      <c r="W150" s="28"/>
      <c r="X150" s="23"/>
    </row>
    <row r="151" spans="1:25" x14ac:dyDescent="0.25">
      <c r="A151" s="3" t="s">
        <v>29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8"/>
      <c r="V151" s="28"/>
      <c r="W151" s="28"/>
      <c r="X151" s="23"/>
    </row>
    <row r="152" spans="1:25" x14ac:dyDescent="0.25">
      <c r="A152" s="3" t="s">
        <v>30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3">
        <f>SUM(U141:U151)</f>
        <v>1.625</v>
      </c>
      <c r="V152" s="23"/>
      <c r="W152" s="23"/>
      <c r="X152" s="26">
        <f>SUM(U152:W152)</f>
        <v>1.625</v>
      </c>
    </row>
    <row r="153" spans="1:2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3"/>
    </row>
    <row r="154" spans="1:2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23"/>
    </row>
    <row r="155" spans="1:25" x14ac:dyDescent="0.25">
      <c r="A155" s="3" t="s">
        <v>82</v>
      </c>
      <c r="B155" s="3" t="s">
        <v>83</v>
      </c>
      <c r="C155" s="3">
        <v>44</v>
      </c>
      <c r="D155" s="3"/>
      <c r="E155" s="3">
        <v>41</v>
      </c>
      <c r="F155" s="3"/>
      <c r="G155" s="3"/>
      <c r="H155" s="3"/>
      <c r="I155" s="3">
        <v>3</v>
      </c>
      <c r="J155" s="3"/>
      <c r="K155" s="3"/>
      <c r="L155" s="3">
        <v>8</v>
      </c>
      <c r="M155" s="3">
        <v>23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13">
        <v>31</v>
      </c>
      <c r="U155" s="3">
        <v>41</v>
      </c>
      <c r="V155" s="3">
        <v>0</v>
      </c>
      <c r="W155" s="3">
        <v>3</v>
      </c>
      <c r="X155" s="23">
        <v>1.8333333333333333</v>
      </c>
    </row>
    <row r="156" spans="1:25" s="15" customForma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38"/>
    </row>
    <row r="157" spans="1:25" x14ac:dyDescent="0.25">
      <c r="A157" s="3" t="s">
        <v>85</v>
      </c>
      <c r="B157" s="3" t="s">
        <v>86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>
        <v>3</v>
      </c>
      <c r="Q157" s="3">
        <v>3</v>
      </c>
      <c r="R157" s="3">
        <v>3</v>
      </c>
      <c r="S157" s="3">
        <v>3</v>
      </c>
      <c r="T157" s="3">
        <f t="shared" ref="T157:T162" si="8">SUM(J157:S157)</f>
        <v>12</v>
      </c>
      <c r="U157" s="28">
        <f>T157*45/1440</f>
        <v>0.375</v>
      </c>
      <c r="V157" s="27"/>
      <c r="W157" s="27"/>
      <c r="X157" s="23"/>
      <c r="Y157" t="s">
        <v>87</v>
      </c>
    </row>
    <row r="158" spans="1:25" x14ac:dyDescent="0.25">
      <c r="A158" s="3" t="s">
        <v>85</v>
      </c>
      <c r="B158" s="3"/>
      <c r="C158" s="3"/>
      <c r="D158" s="3"/>
      <c r="E158" s="3"/>
      <c r="F158" s="3"/>
      <c r="G158" s="3"/>
      <c r="H158" s="3"/>
      <c r="I158" s="3"/>
      <c r="J158" s="3">
        <v>1</v>
      </c>
      <c r="K158" s="3">
        <v>1</v>
      </c>
      <c r="L158" s="3">
        <v>2</v>
      </c>
      <c r="M158" s="3">
        <v>2</v>
      </c>
      <c r="N158" s="3">
        <v>2</v>
      </c>
      <c r="O158" s="3">
        <v>2</v>
      </c>
      <c r="P158" s="3"/>
      <c r="Q158" s="3"/>
      <c r="R158" s="3"/>
      <c r="S158" s="3"/>
      <c r="T158" s="3">
        <f t="shared" si="8"/>
        <v>10</v>
      </c>
      <c r="U158" s="28">
        <f t="shared" ref="U158:U161" si="9">T158*45/1440</f>
        <v>0.3125</v>
      </c>
      <c r="V158" s="27"/>
      <c r="W158" s="27"/>
      <c r="X158" s="23"/>
      <c r="Y158" t="s">
        <v>88</v>
      </c>
    </row>
    <row r="159" spans="1:25" x14ac:dyDescent="0.25">
      <c r="A159" s="3" t="s">
        <v>85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1</v>
      </c>
      <c r="R159" s="3"/>
      <c r="S159" s="3"/>
      <c r="T159" s="3">
        <f t="shared" si="8"/>
        <v>1</v>
      </c>
      <c r="U159" s="28">
        <f t="shared" si="9"/>
        <v>3.125E-2</v>
      </c>
      <c r="V159" s="27"/>
      <c r="W159" s="27"/>
      <c r="X159" s="23"/>
      <c r="Y159" t="s">
        <v>38</v>
      </c>
    </row>
    <row r="160" spans="1:25" x14ac:dyDescent="0.25">
      <c r="A160" s="3" t="s">
        <v>85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>
        <v>2</v>
      </c>
      <c r="O160" s="3"/>
      <c r="P160" s="3"/>
      <c r="Q160" s="3"/>
      <c r="R160" s="3"/>
      <c r="S160" s="3"/>
      <c r="T160" s="3">
        <f t="shared" si="8"/>
        <v>2</v>
      </c>
      <c r="U160" s="28">
        <f t="shared" si="9"/>
        <v>6.25E-2</v>
      </c>
      <c r="V160" s="27"/>
      <c r="W160" s="27"/>
      <c r="X160" s="23"/>
      <c r="Y160" t="s">
        <v>69</v>
      </c>
    </row>
    <row r="161" spans="1:25" x14ac:dyDescent="0.25">
      <c r="A161" s="3" t="s">
        <v>85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>
        <v>2</v>
      </c>
      <c r="P161" s="3"/>
      <c r="Q161" s="3"/>
      <c r="R161" s="3"/>
      <c r="S161" s="3"/>
      <c r="T161" s="3">
        <f t="shared" si="8"/>
        <v>2</v>
      </c>
      <c r="U161" s="28">
        <f t="shared" si="9"/>
        <v>6.25E-2</v>
      </c>
      <c r="V161" s="27"/>
      <c r="W161" s="27"/>
      <c r="X161" s="23"/>
      <c r="Y161" s="3" t="s">
        <v>70</v>
      </c>
    </row>
    <row r="162" spans="1:25" x14ac:dyDescent="0.25">
      <c r="A162" s="3" t="s">
        <v>85</v>
      </c>
      <c r="B162" s="3"/>
      <c r="C162" s="3">
        <v>35</v>
      </c>
      <c r="D162" s="3"/>
      <c r="E162" s="3">
        <v>35</v>
      </c>
      <c r="F162" s="3"/>
      <c r="G162" s="3"/>
      <c r="H162" s="3"/>
      <c r="I162" s="3"/>
      <c r="J162" s="3">
        <v>1</v>
      </c>
      <c r="K162" s="3">
        <v>1</v>
      </c>
      <c r="L162" s="3">
        <v>2</v>
      </c>
      <c r="M162" s="3">
        <v>2</v>
      </c>
      <c r="N162" s="3">
        <v>4</v>
      </c>
      <c r="O162" s="3">
        <v>4</v>
      </c>
      <c r="P162" s="3">
        <v>3</v>
      </c>
      <c r="Q162" s="3">
        <v>4</v>
      </c>
      <c r="R162" s="3">
        <v>3</v>
      </c>
      <c r="S162" s="3">
        <v>3</v>
      </c>
      <c r="T162" s="13">
        <f t="shared" si="8"/>
        <v>27</v>
      </c>
      <c r="U162" s="3"/>
      <c r="V162" s="3">
        <v>0</v>
      </c>
      <c r="W162" s="3">
        <v>0</v>
      </c>
      <c r="X162" s="23"/>
      <c r="Y162" t="s">
        <v>89</v>
      </c>
    </row>
    <row r="163" spans="1:25" x14ac:dyDescent="0.25">
      <c r="A163" s="3" t="s">
        <v>26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3"/>
      <c r="U163" s="25">
        <v>4.2361111111111113E-2</v>
      </c>
      <c r="V163" s="3"/>
      <c r="W163" s="3"/>
      <c r="X163" s="23"/>
    </row>
    <row r="164" spans="1:25" x14ac:dyDescent="0.25">
      <c r="A164" s="3" t="s">
        <v>27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3"/>
      <c r="U164" s="25">
        <v>4.8611111111111112E-2</v>
      </c>
      <c r="V164" s="3"/>
      <c r="W164" s="3"/>
      <c r="X164" s="23"/>
    </row>
    <row r="165" spans="1:25" x14ac:dyDescent="0.25">
      <c r="A165" s="3" t="s">
        <v>28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3"/>
      <c r="U165" s="25">
        <v>0.2076388888888889</v>
      </c>
      <c r="V165" s="3"/>
      <c r="W165" s="3"/>
      <c r="X165" s="23"/>
    </row>
    <row r="166" spans="1:25" x14ac:dyDescent="0.25">
      <c r="A166" s="3" t="s">
        <v>29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3"/>
      <c r="U166" s="25">
        <v>0.19097222222222221</v>
      </c>
      <c r="V166" s="3"/>
      <c r="W166" s="3"/>
      <c r="X166" s="23"/>
    </row>
    <row r="167" spans="1:25" x14ac:dyDescent="0.25">
      <c r="A167" s="3" t="s">
        <v>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3"/>
      <c r="U167" s="23">
        <f>SUM(U157:U166)</f>
        <v>1.3333333333333335</v>
      </c>
      <c r="V167" s="23"/>
      <c r="W167" s="23"/>
      <c r="X167" s="26">
        <f>SUM(U167:W167)</f>
        <v>1.3333333333333335</v>
      </c>
    </row>
    <row r="168" spans="1:2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3"/>
      <c r="U168" s="3"/>
      <c r="V168" s="3"/>
      <c r="W168" s="3"/>
      <c r="X168" s="23"/>
    </row>
    <row r="169" spans="1:25" s="15" customForma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38"/>
    </row>
    <row r="170" spans="1:25" x14ac:dyDescent="0.25">
      <c r="A170" s="3" t="s">
        <v>90</v>
      </c>
      <c r="B170" s="3" t="s">
        <v>91</v>
      </c>
      <c r="C170" s="3">
        <v>44</v>
      </c>
      <c r="D170" s="3"/>
      <c r="E170" s="3">
        <v>44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3">
        <v>0</v>
      </c>
      <c r="U170" s="3"/>
      <c r="V170" s="3"/>
      <c r="W170" s="3"/>
      <c r="X170" s="23"/>
      <c r="Y170" t="s">
        <v>92</v>
      </c>
    </row>
    <row r="171" spans="1:25" s="21" customForma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39"/>
    </row>
    <row r="172" spans="1:25" s="22" customFormat="1" x14ac:dyDescent="0.25">
      <c r="A172" s="17" t="s">
        <v>93</v>
      </c>
      <c r="B172" s="18" t="s">
        <v>94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>
        <v>6</v>
      </c>
      <c r="S172" s="18">
        <v>6</v>
      </c>
      <c r="T172" s="18">
        <f>SUM(J172:S172)</f>
        <v>12</v>
      </c>
      <c r="U172" s="29">
        <f>T172*45/1440</f>
        <v>0.375</v>
      </c>
      <c r="V172" s="18"/>
      <c r="W172" s="18"/>
      <c r="X172" s="29"/>
      <c r="Y172" s="22" t="s">
        <v>95</v>
      </c>
    </row>
    <row r="173" spans="1:25" s="22" customFormat="1" x14ac:dyDescent="0.25">
      <c r="A173" s="17" t="s">
        <v>93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>
        <v>8</v>
      </c>
      <c r="P173" s="18">
        <v>6</v>
      </c>
      <c r="Q173" s="18">
        <v>6</v>
      </c>
      <c r="R173" s="18"/>
      <c r="S173" s="18"/>
      <c r="T173" s="18">
        <f>SUM(J173:S173)</f>
        <v>20</v>
      </c>
      <c r="U173" s="29">
        <f>T173*45/1440</f>
        <v>0.625</v>
      </c>
      <c r="V173" s="18"/>
      <c r="W173" s="18"/>
      <c r="X173" s="29"/>
      <c r="Y173" s="22" t="s">
        <v>60</v>
      </c>
    </row>
    <row r="174" spans="1:25" s="22" customFormat="1" x14ac:dyDescent="0.25">
      <c r="A174" s="17" t="s">
        <v>93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>
        <v>2</v>
      </c>
      <c r="R174" s="18"/>
      <c r="S174" s="18"/>
      <c r="T174" s="18">
        <f>SUM(J174:S174)</f>
        <v>2</v>
      </c>
      <c r="U174" s="29">
        <f>T174*45/1440</f>
        <v>6.25E-2</v>
      </c>
      <c r="V174" s="18"/>
      <c r="W174" s="18"/>
      <c r="X174" s="29"/>
      <c r="Y174" t="s">
        <v>69</v>
      </c>
    </row>
    <row r="175" spans="1:25" x14ac:dyDescent="0.25">
      <c r="A175" s="17" t="s">
        <v>93</v>
      </c>
      <c r="B175" s="18"/>
      <c r="C175" s="3">
        <v>43</v>
      </c>
      <c r="D175" s="3"/>
      <c r="E175" s="3">
        <v>43</v>
      </c>
      <c r="F175" s="3"/>
      <c r="G175" s="3"/>
      <c r="H175" s="3"/>
      <c r="I175" s="3"/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8</v>
      </c>
      <c r="P175" s="3">
        <v>6</v>
      </c>
      <c r="Q175" s="3">
        <v>8</v>
      </c>
      <c r="R175" s="3">
        <v>6</v>
      </c>
      <c r="S175" s="3">
        <v>6</v>
      </c>
      <c r="T175" s="13"/>
      <c r="U175" s="23"/>
      <c r="V175" s="3">
        <v>0</v>
      </c>
      <c r="W175" s="3">
        <v>0</v>
      </c>
      <c r="X175" s="23"/>
    </row>
    <row r="176" spans="1:25" x14ac:dyDescent="0.25">
      <c r="A176" s="18" t="s">
        <v>26</v>
      </c>
      <c r="B176" s="1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3"/>
      <c r="U176" s="23">
        <v>2.8472222222222222E-2</v>
      </c>
      <c r="V176" s="3"/>
      <c r="W176" s="3"/>
      <c r="X176" s="23"/>
    </row>
    <row r="177" spans="1:25" x14ac:dyDescent="0.25">
      <c r="A177" s="18" t="s">
        <v>27</v>
      </c>
      <c r="B177" s="1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3"/>
      <c r="U177" s="23">
        <v>8.5416666666666669E-2</v>
      </c>
      <c r="V177" s="3"/>
      <c r="W177" s="3"/>
      <c r="X177" s="23"/>
    </row>
    <row r="178" spans="1:25" x14ac:dyDescent="0.25">
      <c r="A178" s="18" t="s">
        <v>28</v>
      </c>
      <c r="B178" s="1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3"/>
      <c r="U178" s="23">
        <v>0.13819444444444445</v>
      </c>
      <c r="V178" s="3"/>
      <c r="W178" s="3"/>
      <c r="X178" s="23"/>
    </row>
    <row r="179" spans="1:25" x14ac:dyDescent="0.25">
      <c r="A179" s="18" t="s">
        <v>29</v>
      </c>
      <c r="B179" s="1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3"/>
      <c r="U179" s="23">
        <v>0.35208333333333336</v>
      </c>
      <c r="V179" s="3"/>
      <c r="W179" s="3"/>
      <c r="X179" s="23"/>
    </row>
    <row r="180" spans="1:25" x14ac:dyDescent="0.25">
      <c r="A180" s="18" t="s">
        <v>30</v>
      </c>
      <c r="B180" s="1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3"/>
      <c r="U180" s="23">
        <f>SUM(U172:U179)</f>
        <v>1.6666666666666667</v>
      </c>
      <c r="V180" s="3"/>
      <c r="W180" s="3"/>
      <c r="X180" s="26">
        <f>SUM(U180:W180)</f>
        <v>1.6666666666666667</v>
      </c>
    </row>
    <row r="181" spans="1:25" s="15" customFormat="1" x14ac:dyDescent="0.25">
      <c r="A181" s="16"/>
      <c r="B181" s="16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38"/>
    </row>
    <row r="182" spans="1:25" x14ac:dyDescent="0.25">
      <c r="A182" s="18"/>
      <c r="B182" s="18"/>
      <c r="C182" s="3"/>
      <c r="D182" s="3"/>
      <c r="E182" s="3"/>
      <c r="F182" s="3"/>
      <c r="G182" s="3"/>
      <c r="H182" s="3"/>
      <c r="I182" s="3"/>
      <c r="J182" s="3"/>
      <c r="K182" s="3">
        <v>14</v>
      </c>
      <c r="L182" s="3"/>
      <c r="M182" s="3"/>
      <c r="N182" s="3"/>
      <c r="O182" s="3"/>
      <c r="P182" s="3"/>
      <c r="Q182" s="3"/>
      <c r="R182" s="3"/>
      <c r="S182" s="3"/>
      <c r="T182" s="3">
        <f>SUM(J182:S182)</f>
        <v>14</v>
      </c>
      <c r="U182" s="23">
        <f>T182*45/1440</f>
        <v>0.4375</v>
      </c>
      <c r="V182" s="3"/>
      <c r="W182" s="3"/>
      <c r="X182" s="23"/>
      <c r="Y182" t="s">
        <v>96</v>
      </c>
    </row>
    <row r="183" spans="1:25" x14ac:dyDescent="0.25">
      <c r="A183" s="18"/>
      <c r="B183" s="18"/>
      <c r="C183" s="3"/>
      <c r="D183" s="3"/>
      <c r="E183" s="3"/>
      <c r="F183" s="3"/>
      <c r="G183" s="3"/>
      <c r="H183" s="3"/>
      <c r="I183" s="3"/>
      <c r="J183" s="3"/>
      <c r="K183" s="3"/>
      <c r="L183" s="3">
        <v>2</v>
      </c>
      <c r="M183" s="3"/>
      <c r="N183" s="3"/>
      <c r="O183" s="3"/>
      <c r="P183" s="3"/>
      <c r="Q183" s="3"/>
      <c r="R183" s="3"/>
      <c r="S183" s="3"/>
      <c r="T183" s="3">
        <f>SUM(J183:S183)</f>
        <v>2</v>
      </c>
      <c r="U183" s="23">
        <f>T183*45/1440</f>
        <v>6.25E-2</v>
      </c>
      <c r="V183" s="3"/>
      <c r="W183" s="3"/>
      <c r="X183" s="23"/>
      <c r="Y183" t="s">
        <v>35</v>
      </c>
    </row>
    <row r="184" spans="1:25" x14ac:dyDescent="0.25">
      <c r="A184" s="18"/>
      <c r="B184" s="18"/>
      <c r="C184" s="3"/>
      <c r="D184" s="3"/>
      <c r="E184" s="3"/>
      <c r="F184" s="3"/>
      <c r="G184" s="3"/>
      <c r="H184" s="3"/>
      <c r="I184" s="3"/>
      <c r="J184" s="3"/>
      <c r="K184" s="3"/>
      <c r="L184" s="3">
        <v>2</v>
      </c>
      <c r="M184" s="3"/>
      <c r="N184" s="3"/>
      <c r="O184" s="3"/>
      <c r="P184" s="3"/>
      <c r="Q184" s="3"/>
      <c r="R184" s="3"/>
      <c r="S184" s="3"/>
      <c r="T184" s="3">
        <f>SUM(J184:S184)</f>
        <v>2</v>
      </c>
      <c r="U184" s="23">
        <f>T184*45/1440</f>
        <v>6.25E-2</v>
      </c>
      <c r="V184" s="3"/>
      <c r="W184" s="3"/>
      <c r="X184" s="23"/>
      <c r="Y184" t="s">
        <v>36</v>
      </c>
    </row>
    <row r="185" spans="1:25" x14ac:dyDescent="0.25">
      <c r="A185" s="18"/>
      <c r="B185" s="18"/>
      <c r="C185" s="3"/>
      <c r="D185" s="3"/>
      <c r="E185" s="3"/>
      <c r="F185" s="3"/>
      <c r="G185" s="3"/>
      <c r="H185" s="3"/>
      <c r="I185" s="3"/>
      <c r="J185" s="3"/>
      <c r="K185" s="3"/>
      <c r="L185" s="3">
        <v>2</v>
      </c>
      <c r="M185" s="3"/>
      <c r="N185" s="3"/>
      <c r="O185" s="3"/>
      <c r="P185" s="3"/>
      <c r="Q185" s="3"/>
      <c r="R185" s="3"/>
      <c r="S185" s="3"/>
      <c r="T185" s="3">
        <f>SUM(J185:S185)</f>
        <v>2</v>
      </c>
      <c r="U185" s="23">
        <f>T185*45/1440</f>
        <v>6.25E-2</v>
      </c>
      <c r="V185" s="3"/>
      <c r="W185" s="3"/>
      <c r="X185" s="23"/>
      <c r="Y185" t="s">
        <v>32</v>
      </c>
    </row>
    <row r="186" spans="1:25" x14ac:dyDescent="0.25">
      <c r="A186" s="3" t="s">
        <v>97</v>
      </c>
      <c r="B186" s="3" t="s">
        <v>98</v>
      </c>
      <c r="C186" s="3">
        <v>35</v>
      </c>
      <c r="D186" s="3"/>
      <c r="E186" s="3">
        <v>32</v>
      </c>
      <c r="F186" s="3"/>
      <c r="G186" s="3"/>
      <c r="H186" s="3"/>
      <c r="I186" s="3">
        <v>3</v>
      </c>
      <c r="J186" s="3">
        <v>0</v>
      </c>
      <c r="K186" s="3">
        <v>14</v>
      </c>
      <c r="L186" s="3">
        <v>7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13"/>
      <c r="U186" s="23"/>
      <c r="V186" s="3">
        <v>0</v>
      </c>
      <c r="W186" s="25">
        <v>0.125</v>
      </c>
      <c r="X186" s="23"/>
    </row>
    <row r="187" spans="1:25" x14ac:dyDescent="0.25">
      <c r="A187" t="s">
        <v>63</v>
      </c>
      <c r="T187" s="30"/>
      <c r="U187" s="31"/>
      <c r="W187" s="33"/>
      <c r="X187" s="31"/>
    </row>
    <row r="188" spans="1:25" x14ac:dyDescent="0.25">
      <c r="A188" t="s">
        <v>26</v>
      </c>
      <c r="T188" s="30"/>
      <c r="U188" s="31">
        <v>2.013888888888889E-2</v>
      </c>
      <c r="X188" s="31"/>
    </row>
    <row r="189" spans="1:25" x14ac:dyDescent="0.25">
      <c r="A189" t="s">
        <v>27</v>
      </c>
      <c r="T189" s="30"/>
      <c r="U189" s="31">
        <v>4.5138888888888888E-2</v>
      </c>
      <c r="X189" s="31"/>
    </row>
    <row r="190" spans="1:25" x14ac:dyDescent="0.25">
      <c r="A190" t="s">
        <v>28</v>
      </c>
      <c r="T190" s="30"/>
      <c r="U190" s="31">
        <v>8.4027777777777785E-2</v>
      </c>
      <c r="X190" s="31"/>
    </row>
    <row r="191" spans="1:25" x14ac:dyDescent="0.25">
      <c r="A191" t="s">
        <v>29</v>
      </c>
      <c r="T191" s="30"/>
      <c r="U191" s="31">
        <v>0.18402777777777779</v>
      </c>
      <c r="X191" s="31"/>
    </row>
    <row r="192" spans="1:25" x14ac:dyDescent="0.25">
      <c r="A192" t="s">
        <v>30</v>
      </c>
      <c r="T192" s="30"/>
      <c r="U192" s="31">
        <f>SUM(U182:U191)</f>
        <v>0.95833333333333337</v>
      </c>
      <c r="V192" s="31">
        <f>SUM(V182:V191)</f>
        <v>0</v>
      </c>
      <c r="W192" s="31">
        <f>SUM(W182:W191)</f>
        <v>0.125</v>
      </c>
      <c r="X192" s="32">
        <f>SUM(U192:W192)</f>
        <v>1.0833333333333335</v>
      </c>
      <c r="Y192" t="s">
        <v>99</v>
      </c>
    </row>
    <row r="193" spans="1:25" s="15" customFormat="1" x14ac:dyDescent="0.25">
      <c r="X193" s="40"/>
    </row>
    <row r="194" spans="1:25" x14ac:dyDescent="0.25">
      <c r="A194" s="3" t="s">
        <v>100</v>
      </c>
      <c r="B194" s="3" t="s">
        <v>101</v>
      </c>
      <c r="C194" s="3">
        <v>44</v>
      </c>
      <c r="D194" s="3"/>
      <c r="E194" s="3"/>
      <c r="F194" s="3"/>
      <c r="G194" s="3"/>
      <c r="H194" s="3">
        <v>44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>
        <v>38</v>
      </c>
      <c r="U194" s="3"/>
      <c r="V194" s="3"/>
      <c r="W194" s="3">
        <v>44</v>
      </c>
      <c r="X194" s="23">
        <v>1.8333333333333333</v>
      </c>
      <c r="Y194" t="s">
        <v>102</v>
      </c>
    </row>
    <row r="195" spans="1:25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23"/>
    </row>
    <row r="196" spans="1:25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23"/>
    </row>
    <row r="197" spans="1:25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23"/>
    </row>
    <row r="198" spans="1:25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3"/>
    </row>
    <row r="199" spans="1:25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23"/>
    </row>
    <row r="200" spans="1:2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23"/>
    </row>
    <row r="201" spans="1:25" x14ac:dyDescent="0.25">
      <c r="A201" s="3" t="s">
        <v>103</v>
      </c>
      <c r="B201" s="3" t="s">
        <v>104</v>
      </c>
      <c r="C201" s="3">
        <v>44</v>
      </c>
      <c r="D201" s="3"/>
      <c r="E201" s="3"/>
      <c r="F201" s="3"/>
      <c r="G201" s="3"/>
      <c r="H201" s="3">
        <v>44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>
        <v>38</v>
      </c>
      <c r="U201" s="3"/>
      <c r="V201" s="3"/>
      <c r="W201" s="3">
        <v>44</v>
      </c>
      <c r="X201" s="23">
        <v>1.8333333333333333</v>
      </c>
      <c r="Y201" t="s">
        <v>102</v>
      </c>
    </row>
    <row r="202" spans="1:25" x14ac:dyDescent="0.25">
      <c r="A202" s="3" t="s">
        <v>105</v>
      </c>
      <c r="B202" s="3" t="s">
        <v>106</v>
      </c>
      <c r="C202" s="3">
        <v>44</v>
      </c>
      <c r="D202" s="3"/>
      <c r="E202" s="3"/>
      <c r="F202" s="3"/>
      <c r="G202" s="3"/>
      <c r="H202" s="3">
        <v>44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>
        <v>24</v>
      </c>
      <c r="U202" s="3"/>
      <c r="V202" s="3"/>
      <c r="W202" s="3">
        <v>44</v>
      </c>
      <c r="X202" s="23">
        <v>1.8333333333333333</v>
      </c>
      <c r="Y202" t="s">
        <v>107</v>
      </c>
    </row>
    <row r="203" spans="1:25" x14ac:dyDescent="0.25">
      <c r="A203" s="3" t="s">
        <v>108</v>
      </c>
      <c r="B203" s="3" t="s">
        <v>109</v>
      </c>
      <c r="C203" s="3">
        <v>44</v>
      </c>
      <c r="D203" s="3"/>
      <c r="E203" s="3"/>
      <c r="F203" s="3"/>
      <c r="G203" s="3"/>
      <c r="H203" s="3">
        <v>44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>
        <v>38</v>
      </c>
      <c r="U203" s="3"/>
      <c r="V203" s="3"/>
      <c r="W203" s="3">
        <v>44</v>
      </c>
      <c r="X203" s="23">
        <v>1.8333333333333333</v>
      </c>
      <c r="Y203" t="s">
        <v>102</v>
      </c>
    </row>
    <row r="204" spans="1:2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23">
        <f>SUM(X3:X203)</f>
        <v>35.833333333333336</v>
      </c>
    </row>
    <row r="205" spans="1:2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25">
      <c r="A210" s="3"/>
      <c r="B210" s="3"/>
      <c r="C210" s="3"/>
      <c r="D210" s="3"/>
      <c r="E210" s="3">
        <f>COUNT(C3:C203)</f>
        <v>24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</sheetData>
  <mergeCells count="1">
    <mergeCell ref="J1:S1"/>
  </mergeCells>
  <phoneticPr fontId="4" type="noConversion"/>
  <pageMargins left="0.7" right="0.7" top="0.75" bottom="0.75" header="0.3" footer="0.3"/>
  <pageSetup paperSize="1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9B92-C1BC-43FF-987A-E4756612013A}">
  <sheetPr codeName="Hoja2"/>
  <dimension ref="A1:K27"/>
  <sheetViews>
    <sheetView workbookViewId="0">
      <selection activeCell="L2" sqref="L2"/>
    </sheetView>
  </sheetViews>
  <sheetFormatPr baseColWidth="10" defaultColWidth="11.42578125" defaultRowHeight="15" x14ac:dyDescent="0.25"/>
  <cols>
    <col min="1" max="1" width="41.5703125" bestFit="1" customWidth="1"/>
    <col min="2" max="2" width="12" bestFit="1" customWidth="1"/>
    <col min="3" max="3" width="33.140625" bestFit="1" customWidth="1"/>
    <col min="4" max="4" width="17.28515625" bestFit="1" customWidth="1"/>
    <col min="5" max="5" width="8.7109375" customWidth="1"/>
    <col min="6" max="6" width="10.28515625" customWidth="1"/>
    <col min="7" max="8" width="9.140625" customWidth="1"/>
    <col min="9" max="9" width="12" customWidth="1"/>
    <col min="10" max="10" width="7.7109375" customWidth="1"/>
  </cols>
  <sheetData>
    <row r="1" spans="1:10" x14ac:dyDescent="0.25">
      <c r="A1" t="s">
        <v>110</v>
      </c>
    </row>
    <row r="2" spans="1:10" ht="57" customHeight="1" x14ac:dyDescent="0.25">
      <c r="A2" s="8" t="s">
        <v>1</v>
      </c>
      <c r="B2" s="8" t="s">
        <v>111</v>
      </c>
      <c r="C2" s="8" t="s">
        <v>112</v>
      </c>
      <c r="D2" s="8" t="s">
        <v>3</v>
      </c>
      <c r="E2" s="8" t="s">
        <v>113</v>
      </c>
      <c r="F2" s="8" t="s">
        <v>114</v>
      </c>
      <c r="G2" s="8" t="s">
        <v>115</v>
      </c>
      <c r="H2" s="8" t="s">
        <v>116</v>
      </c>
      <c r="I2" s="8" t="s">
        <v>117</v>
      </c>
      <c r="J2" s="8" t="s">
        <v>118</v>
      </c>
    </row>
    <row r="3" spans="1:10" x14ac:dyDescent="0.25">
      <c r="A3" s="9" t="s">
        <v>119</v>
      </c>
      <c r="B3" s="9" t="s">
        <v>120</v>
      </c>
      <c r="C3" s="9" t="s">
        <v>121</v>
      </c>
      <c r="D3" s="9">
        <v>38</v>
      </c>
      <c r="E3" s="9"/>
      <c r="F3" s="9">
        <v>38</v>
      </c>
      <c r="G3" s="9"/>
      <c r="H3" s="9"/>
      <c r="I3" s="9"/>
      <c r="J3" s="9"/>
    </row>
    <row r="4" spans="1:10" x14ac:dyDescent="0.25">
      <c r="A4" t="s">
        <v>122</v>
      </c>
      <c r="B4" t="s">
        <v>123</v>
      </c>
      <c r="C4" t="s">
        <v>124</v>
      </c>
      <c r="D4">
        <v>44</v>
      </c>
      <c r="E4">
        <v>44</v>
      </c>
    </row>
    <row r="5" spans="1:10" x14ac:dyDescent="0.25">
      <c r="A5" t="s">
        <v>125</v>
      </c>
      <c r="B5" t="s">
        <v>126</v>
      </c>
      <c r="C5" t="s">
        <v>127</v>
      </c>
      <c r="D5">
        <v>38</v>
      </c>
      <c r="E5">
        <v>38</v>
      </c>
    </row>
    <row r="6" spans="1:10" x14ac:dyDescent="0.25">
      <c r="A6" t="s">
        <v>128</v>
      </c>
      <c r="B6" t="s">
        <v>129</v>
      </c>
      <c r="C6" t="s">
        <v>130</v>
      </c>
      <c r="D6">
        <v>44</v>
      </c>
      <c r="E6">
        <v>44</v>
      </c>
    </row>
    <row r="7" spans="1:10" x14ac:dyDescent="0.25">
      <c r="A7" s="10" t="s">
        <v>131</v>
      </c>
      <c r="B7" s="10" t="s">
        <v>132</v>
      </c>
      <c r="C7" s="10" t="s">
        <v>130</v>
      </c>
      <c r="D7" s="10">
        <v>44</v>
      </c>
      <c r="E7" s="10"/>
      <c r="F7" s="10">
        <v>44</v>
      </c>
      <c r="G7" s="10"/>
      <c r="H7" s="10"/>
      <c r="I7" s="10"/>
      <c r="J7" s="10"/>
    </row>
    <row r="8" spans="1:10" x14ac:dyDescent="0.25">
      <c r="A8" t="s">
        <v>133</v>
      </c>
      <c r="B8" t="s">
        <v>134</v>
      </c>
      <c r="C8" t="s">
        <v>135</v>
      </c>
      <c r="D8">
        <v>44</v>
      </c>
      <c r="E8">
        <v>44</v>
      </c>
    </row>
    <row r="9" spans="1:10" x14ac:dyDescent="0.25">
      <c r="A9" t="s">
        <v>136</v>
      </c>
      <c r="B9" t="s">
        <v>137</v>
      </c>
      <c r="C9" t="s">
        <v>124</v>
      </c>
      <c r="D9">
        <v>38</v>
      </c>
      <c r="E9">
        <v>38</v>
      </c>
    </row>
    <row r="10" spans="1:10" x14ac:dyDescent="0.25">
      <c r="A10" t="s">
        <v>138</v>
      </c>
      <c r="B10" t="s">
        <v>139</v>
      </c>
      <c r="C10" t="s">
        <v>121</v>
      </c>
      <c r="D10">
        <v>38</v>
      </c>
      <c r="E10">
        <v>38</v>
      </c>
    </row>
    <row r="11" spans="1:10" x14ac:dyDescent="0.25">
      <c r="A11" t="s">
        <v>140</v>
      </c>
      <c r="B11" t="s">
        <v>141</v>
      </c>
      <c r="C11" t="s">
        <v>130</v>
      </c>
      <c r="D11">
        <v>22</v>
      </c>
      <c r="E11">
        <v>22</v>
      </c>
    </row>
    <row r="12" spans="1:10" x14ac:dyDescent="0.25">
      <c r="A12" t="s">
        <v>142</v>
      </c>
      <c r="B12" t="s">
        <v>143</v>
      </c>
      <c r="C12" t="s">
        <v>121</v>
      </c>
      <c r="D12">
        <v>38</v>
      </c>
      <c r="E12">
        <v>38</v>
      </c>
    </row>
    <row r="13" spans="1:10" x14ac:dyDescent="0.25">
      <c r="A13" t="s">
        <v>144</v>
      </c>
      <c r="B13" t="s">
        <v>145</v>
      </c>
      <c r="C13" t="s">
        <v>127</v>
      </c>
      <c r="D13">
        <v>38</v>
      </c>
      <c r="E13">
        <v>38</v>
      </c>
    </row>
    <row r="14" spans="1:10" x14ac:dyDescent="0.25">
      <c r="A14" t="s">
        <v>146</v>
      </c>
      <c r="B14" t="s">
        <v>147</v>
      </c>
      <c r="C14" t="s">
        <v>148</v>
      </c>
      <c r="D14">
        <v>44</v>
      </c>
      <c r="G14">
        <v>22</v>
      </c>
      <c r="I14">
        <v>22</v>
      </c>
    </row>
    <row r="15" spans="1:10" x14ac:dyDescent="0.25">
      <c r="A15" t="s">
        <v>149</v>
      </c>
      <c r="B15" t="s">
        <v>150</v>
      </c>
      <c r="C15" t="s">
        <v>151</v>
      </c>
      <c r="D15">
        <v>22</v>
      </c>
      <c r="G15">
        <v>22</v>
      </c>
    </row>
    <row r="16" spans="1:10" x14ac:dyDescent="0.25">
      <c r="A16" t="s">
        <v>152</v>
      </c>
      <c r="B16" t="s">
        <v>153</v>
      </c>
      <c r="C16" t="s">
        <v>154</v>
      </c>
      <c r="D16">
        <v>38</v>
      </c>
      <c r="H16">
        <v>38</v>
      </c>
    </row>
    <row r="17" spans="1:11" x14ac:dyDescent="0.25">
      <c r="A17" t="s">
        <v>155</v>
      </c>
      <c r="B17" t="s">
        <v>156</v>
      </c>
      <c r="C17" t="s">
        <v>157</v>
      </c>
      <c r="D17">
        <v>38</v>
      </c>
      <c r="G17">
        <v>38</v>
      </c>
    </row>
    <row r="18" spans="1:11" x14ac:dyDescent="0.25">
      <c r="A18" s="10" t="s">
        <v>158</v>
      </c>
      <c r="B18" s="10" t="s">
        <v>159</v>
      </c>
      <c r="C18" s="10" t="s">
        <v>127</v>
      </c>
      <c r="D18" s="10">
        <v>38</v>
      </c>
      <c r="E18" s="10"/>
      <c r="F18" s="10"/>
      <c r="G18" s="10"/>
      <c r="H18" s="10">
        <v>38</v>
      </c>
      <c r="I18" s="10"/>
      <c r="J18" s="10"/>
    </row>
    <row r="19" spans="1:11" x14ac:dyDescent="0.25">
      <c r="A19" t="s">
        <v>160</v>
      </c>
      <c r="B19" t="s">
        <v>161</v>
      </c>
      <c r="C19" t="s">
        <v>162</v>
      </c>
      <c r="D19">
        <v>44</v>
      </c>
      <c r="I19">
        <v>44</v>
      </c>
    </row>
    <row r="20" spans="1:11" x14ac:dyDescent="0.25">
      <c r="A20" t="s">
        <v>163</v>
      </c>
      <c r="B20" t="s">
        <v>164</v>
      </c>
      <c r="C20" t="s">
        <v>165</v>
      </c>
      <c r="D20">
        <v>18</v>
      </c>
      <c r="I20">
        <v>18</v>
      </c>
    </row>
    <row r="21" spans="1:11" x14ac:dyDescent="0.25">
      <c r="A21" t="s">
        <v>166</v>
      </c>
      <c r="B21" t="s">
        <v>167</v>
      </c>
      <c r="C21" t="s">
        <v>168</v>
      </c>
      <c r="D21">
        <v>26</v>
      </c>
      <c r="I21">
        <v>26</v>
      </c>
    </row>
    <row r="22" spans="1:11" x14ac:dyDescent="0.25">
      <c r="A22" t="s">
        <v>169</v>
      </c>
      <c r="B22" t="s">
        <v>170</v>
      </c>
      <c r="C22" t="s">
        <v>171</v>
      </c>
      <c r="D22">
        <v>30</v>
      </c>
      <c r="I22">
        <v>30</v>
      </c>
    </row>
    <row r="23" spans="1:11" x14ac:dyDescent="0.25">
      <c r="A23" t="s">
        <v>172</v>
      </c>
      <c r="B23" t="s">
        <v>173</v>
      </c>
      <c r="C23" t="s">
        <v>157</v>
      </c>
      <c r="D23">
        <v>38</v>
      </c>
      <c r="I23">
        <v>38</v>
      </c>
    </row>
    <row r="24" spans="1:11" x14ac:dyDescent="0.25">
      <c r="A24" s="10" t="s">
        <v>174</v>
      </c>
      <c r="B24" s="10" t="s">
        <v>175</v>
      </c>
      <c r="C24" s="10" t="s">
        <v>121</v>
      </c>
      <c r="D24" s="10">
        <v>38</v>
      </c>
      <c r="E24" s="10"/>
      <c r="F24" s="10"/>
      <c r="G24" s="10"/>
      <c r="H24" s="10"/>
      <c r="I24" s="10"/>
      <c r="J24" s="10">
        <v>38</v>
      </c>
    </row>
    <row r="25" spans="1:11" x14ac:dyDescent="0.25">
      <c r="A25" t="s">
        <v>176</v>
      </c>
      <c r="B25" t="s">
        <v>177</v>
      </c>
      <c r="C25" t="s">
        <v>157</v>
      </c>
      <c r="D25">
        <v>44</v>
      </c>
      <c r="I25">
        <v>44</v>
      </c>
    </row>
    <row r="27" spans="1:11" x14ac:dyDescent="0.25">
      <c r="D27">
        <f t="shared" ref="D27:J27" si="0">SUM(D3:D26)</f>
        <v>844</v>
      </c>
      <c r="E27">
        <f t="shared" si="0"/>
        <v>344</v>
      </c>
      <c r="F27">
        <f t="shared" si="0"/>
        <v>82</v>
      </c>
      <c r="G27">
        <f t="shared" si="0"/>
        <v>82</v>
      </c>
      <c r="H27">
        <f t="shared" si="0"/>
        <v>76</v>
      </c>
      <c r="I27">
        <f t="shared" si="0"/>
        <v>222</v>
      </c>
      <c r="J27">
        <f t="shared" si="0"/>
        <v>38</v>
      </c>
      <c r="K27">
        <f>SUM(E27:J27)</f>
        <v>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0b3a99-e476-4678-9b94-4a8f6e7e2c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BB80BE304CC644821F5AB4BE7A16E8" ma:contentTypeVersion="9" ma:contentTypeDescription="Crear nuevo documento." ma:contentTypeScope="" ma:versionID="f9616986f16b5c534a1f1b41462688ea">
  <xsd:schema xmlns:xsd="http://www.w3.org/2001/XMLSchema" xmlns:xs="http://www.w3.org/2001/XMLSchema" xmlns:p="http://schemas.microsoft.com/office/2006/metadata/properties" xmlns:ns3="b80b3a99-e476-4678-9b94-4a8f6e7e2c1e" targetNamespace="http://schemas.microsoft.com/office/2006/metadata/properties" ma:root="true" ma:fieldsID="90afe135b210a6a48be1383105515b53" ns3:_="">
    <xsd:import namespace="b80b3a99-e476-4678-9b94-4a8f6e7e2c1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3a99-e476-4678-9b94-4a8f6e7e2c1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29529C-628E-4F04-888A-0128BF8AB1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922C1-67CA-4D8D-A7C8-6EB188245DBE}">
  <ds:schemaRefs>
    <ds:schemaRef ds:uri="http://schemas.microsoft.com/office/2006/metadata/properties"/>
    <ds:schemaRef ds:uri="http://schemas.microsoft.com/office/infopath/2007/PartnerControls"/>
    <ds:schemaRef ds:uri="b80b3a99-e476-4678-9b94-4a8f6e7e2c1e"/>
  </ds:schemaRefs>
</ds:datastoreItem>
</file>

<file path=customXml/itemProps3.xml><?xml version="1.0" encoding="utf-8"?>
<ds:datastoreItem xmlns:ds="http://schemas.openxmlformats.org/officeDocument/2006/customXml" ds:itemID="{C959548A-0485-4DD6-A124-A8B9EC364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b3a99-e476-4678-9b94-4a8f6e7e2c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Docentes</vt:lpstr>
      <vt:lpstr>Asistentes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Dionicio Felipe Flores Vilches</dc:creator>
  <cp:keywords/>
  <dc:description/>
  <cp:lastModifiedBy>Dionicio Felipe Flores Vilches</cp:lastModifiedBy>
  <cp:revision/>
  <dcterms:created xsi:type="dcterms:W3CDTF">2026-07-13T16:45:57Z</dcterms:created>
  <dcterms:modified xsi:type="dcterms:W3CDTF">2026-09-15T01:49:41Z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0x010100B4BB80BE304CC644821F5AB4BE7A16E8</vt:lpwstr>
  </property>
</Properties>
</file>
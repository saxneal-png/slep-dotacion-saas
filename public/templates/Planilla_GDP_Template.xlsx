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1" name="PIE" state="visible" r:id="rId4"/>
    <sheet sheetId="2" name="SEP" state="visible" r:id="rId5"/>
    <sheet sheetId="3" name="Subv. Normal - Docentes Tit" state="visible" r:id="rId6"/>
    <sheet sheetId="4" name="Subv. Normal - Docentes Ctta." state="visible" r:id="rId7"/>
    <sheet sheetId="5" name="Subv. Normal AA.EE" state="visible" r:id="rId8"/>
    <sheet sheetId="6" name="Pro-Retención" state="hidden" r:id="rId9"/>
  </sheets>
  <calcPr calcId="171027"/>
</workbook>
</file>

<file path=xl/sharedStrings.xml><?xml version="1.0" encoding="utf-8"?>
<sst xmlns="http://schemas.openxmlformats.org/spreadsheetml/2006/main" count="833" uniqueCount="120">
  <si>
    <t>Propuesta Dotación Docentes Diferenciales - Programa Integración Escolar 2026</t>
  </si>
  <si>
    <t>Dotación Docentes Diferenciales</t>
  </si>
  <si>
    <t xml:space="preserve">Total horas por asignar  </t>
  </si>
  <si>
    <t>XX</t>
  </si>
  <si>
    <t>Total horas solicitadas</t>
  </si>
  <si>
    <t xml:space="preserve">Verificador </t>
  </si>
  <si>
    <t xml:space="preserve">Total horas autorizadas
Docentes Diferenciales - PIE 2026</t>
  </si>
  <si>
    <t>Docente</t>
  </si>
  <si>
    <t>Propuesta del establecimiento</t>
  </si>
  <si>
    <t>Sanción Final (uso exclusivo SLEP Andalién Sur)</t>
  </si>
  <si>
    <t>N°</t>
  </si>
  <si>
    <t>Nombre</t>
  </si>
  <si>
    <t>RUN</t>
  </si>
  <si>
    <t>Formación / Cargo</t>
  </si>
  <si>
    <t>Contrato</t>
  </si>
  <si>
    <t>Fecha Término</t>
  </si>
  <si>
    <t>Horas 2025</t>
  </si>
  <si>
    <t>Propuesta</t>
  </si>
  <si>
    <t xml:space="preserve">Horas
Solicitadas</t>
  </si>
  <si>
    <t xml:space="preserve">Observaciones relevantes
Director/a</t>
  </si>
  <si>
    <t>Estado</t>
  </si>
  <si>
    <t>Horas aprobadas</t>
  </si>
  <si>
    <t>Observaciones relevantes</t>
  </si>
  <si>
    <t>Orden</t>
  </si>
  <si>
    <t>Inicio</t>
  </si>
  <si>
    <t>Término</t>
  </si>
  <si>
    <t>Estado Final</t>
  </si>
  <si>
    <t>Docente Diferencial</t>
  </si>
  <si>
    <t>Pendiente</t>
  </si>
  <si>
    <t>Propuesta Dotación Asistentes de la Educación - Programa Integración Escolar 2026</t>
  </si>
  <si>
    <t>Dotación Asistentes de la Educación PIE</t>
  </si>
  <si>
    <t xml:space="preserve">Total horas autorizadas
Asistentes de la Educación - PIE 2026</t>
  </si>
  <si>
    <t>Asistente de la Educación</t>
  </si>
  <si>
    <t>Asignación Horas Trabajo Colaborativo a Contrata - PIE 2026</t>
  </si>
  <si>
    <t>Total horas Contrata 2026</t>
  </si>
  <si>
    <t>Aprobadas</t>
  </si>
  <si>
    <t>Cursadas</t>
  </si>
  <si>
    <t>Dotación Docente Trabajo Colaborativo Aprobada</t>
  </si>
  <si>
    <t>Gestión nombramiento</t>
  </si>
  <si>
    <t>Función</t>
  </si>
  <si>
    <t>Tipo Nombramiento</t>
  </si>
  <si>
    <t>Horas Colab.</t>
  </si>
  <si>
    <t>Obs. Proceso</t>
  </si>
  <si>
    <t>Nivel</t>
  </si>
  <si>
    <t>Horas cursadas</t>
  </si>
  <si>
    <t>-</t>
  </si>
  <si>
    <t>Trabajo colab. PIE</t>
  </si>
  <si>
    <t>Titular PIE</t>
  </si>
  <si>
    <t>Aprobado</t>
  </si>
  <si>
    <t>Vigente</t>
  </si>
  <si>
    <t>Contrata PIE</t>
  </si>
  <si>
    <t>NO ASIGNAR AÚN</t>
  </si>
  <si>
    <t>PIE 2026</t>
  </si>
  <si>
    <t>Propuesta Dotación Subvención Escolar Preferencial SEP - Año Escolar 2026</t>
  </si>
  <si>
    <t>Subvención Agosto 2025</t>
  </si>
  <si>
    <t>Total horas vigentes</t>
  </si>
  <si>
    <t>Propuesta 2026</t>
  </si>
  <si>
    <t>Total horas propuestas</t>
  </si>
  <si>
    <t>% Inversión Propuesto</t>
  </si>
  <si>
    <t>Total horas aprobadas</t>
  </si>
  <si>
    <t>% Invertido Dotación SEP (ago)</t>
  </si>
  <si>
    <t>Total Remuneraciones</t>
  </si>
  <si>
    <t>Total Remu. ppta.</t>
  </si>
  <si>
    <t>Funcionario/a</t>
  </si>
  <si>
    <t>Formación</t>
  </si>
  <si>
    <t>Escalafón</t>
  </si>
  <si>
    <t>Remune. App</t>
  </si>
  <si>
    <t>Incog.</t>
  </si>
  <si>
    <t>Acción PME - Actual</t>
  </si>
  <si>
    <t>Descripción Función (breve)</t>
  </si>
  <si>
    <t>Obs. relevantes Director/a</t>
  </si>
  <si>
    <t>Destinaciones / Incorporaciones 2026</t>
  </si>
  <si>
    <t>Propuesta Dotación Docente Titular - Cumplimiento Plan de Estudios Año Escolar 2026</t>
  </si>
  <si>
    <t>Total horas Dotación Docente Titular</t>
  </si>
  <si>
    <t>Total horas autorizadas - Año Escolar 2026</t>
  </si>
  <si>
    <t>Dotación Titular Vigente - Año Escolar 2025</t>
  </si>
  <si>
    <t>Propuesta del establecimiento - Año Escolar 2026</t>
  </si>
  <si>
    <t>Función principal</t>
  </si>
  <si>
    <t>Horas Solicitadas</t>
  </si>
  <si>
    <t>Observaciones relevantes Director/a</t>
  </si>
  <si>
    <t>Titular</t>
  </si>
  <si>
    <t>Propuesta Dotación Docente Contrata - Cumplimiento Plan de Estudios Año Escolar 2026</t>
  </si>
  <si>
    <t>Propuesta Dotación Docente Contrata - Educación Parvularia</t>
  </si>
  <si>
    <t xml:space="preserve">Plan Estudio: Educación Parvularia </t>
  </si>
  <si>
    <t>Total horas por asignar 2026</t>
  </si>
  <si>
    <t>Total horas autorizadas Ed. Parvularia - Año Escolar 2026</t>
  </si>
  <si>
    <t>Título Profesional</t>
  </si>
  <si>
    <t>Nivel Enseñanza</t>
  </si>
  <si>
    <t>Horas por asignar</t>
  </si>
  <si>
    <t>Verificador</t>
  </si>
  <si>
    <t>Ed. Párvulos</t>
  </si>
  <si>
    <t>10 Educación Parvularia</t>
  </si>
  <si>
    <t>Propuesta Dotación Docente Contrata - Plan de Estudio Enseñanaza Básica</t>
  </si>
  <si>
    <t xml:space="preserve">Plan Estudio: Enseñanza Básica </t>
  </si>
  <si>
    <t>Total horas autorizadas Enseñanza Básica - Año Escolar 2026</t>
  </si>
  <si>
    <t>110 Enseñanza Gral. Básica</t>
  </si>
  <si>
    <t>Propuesta Dotación Docente Contrata - Plan de Estudio Enseñanza Media</t>
  </si>
  <si>
    <t>Plan Estudio Enseñanza Media</t>
  </si>
  <si>
    <t>Total horas autorizadas Enseñanza Media - Año Escolar 2026</t>
  </si>
  <si>
    <t>310 E. Media HC niños y jóvenes</t>
  </si>
  <si>
    <t>Propuesta Dotación Docente Contrata - Plan de Estudio Técnico Profesional</t>
  </si>
  <si>
    <t>Plan Estudio Nivel Téc. Profesional (horas especialidad)</t>
  </si>
  <si>
    <t>Total horas autorizadas Téc. Profesional - Año Escolar 2026</t>
  </si>
  <si>
    <t>Propuesta Asistentes de la Educación Dotación Subvención Normal - Año Escolar 2026</t>
  </si>
  <si>
    <t>Dotación Asistentes Educación</t>
  </si>
  <si>
    <t xml:space="preserve">Total horas autorizadas - Año Escolar 2026                     </t>
  </si>
  <si>
    <t>Dotación vigente - Año Escolar 2025</t>
  </si>
  <si>
    <t>COD. DEL TRAB.</t>
  </si>
  <si>
    <t>Subv. Normal - A. Educación  / Nuevas contrataciones</t>
  </si>
  <si>
    <t>Propuesta Dotación Subvención Pro-Retención Año Escolar 2026</t>
  </si>
  <si>
    <t>Monto Subvención disponible</t>
  </si>
  <si>
    <t>Propuesta 2025</t>
  </si>
  <si>
    <t>Total Remu. ppta. App.</t>
  </si>
  <si>
    <t>Propuesta - SLEP AS</t>
  </si>
  <si>
    <t>Tipo contrato</t>
  </si>
  <si>
    <t>Horas 2026</t>
  </si>
  <si>
    <t>Inversión total</t>
  </si>
  <si>
    <t>Acción Retención</t>
  </si>
  <si>
    <t>Ext.</t>
  </si>
  <si>
    <t>COD.TRAB. PRORETENCIÓN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</si>
</sst>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m/yyyy"/>
    <numFmt numFmtId="165" formatCode="0.0%"/>
  </numFmts>
  <fonts count="17" x14ac:knownFonts="1">
    <font>
      <color theme="1"/>
      <family val="2"/>
      <scheme val="minor"/>
      <sz val="11"/>
      <name val="Calibri"/>
    </font>
    <font>
      <color theme="1"/>
      <sz val="8"/>
      <name val="Arial"/>
    </font>
    <font>
      <b/>
      <color rgb="FFFFFFFF"/>
      <sz val="9"/>
      <name val="Arial"/>
    </font>
    <font>
      <sz val="10"/>
      <name val="Calibri"/>
    </font>
    <font>
      <color rgb="FFFFFFFF"/>
      <sz val="8"/>
      <name val="Arial"/>
    </font>
    <font>
      <color rgb="FF000000"/>
      <sz val="8"/>
      <name val="Arial"/>
    </font>
    <font>
      <b/>
      <color rgb="FFFFFFFF"/>
      <sz val="8"/>
      <name val="Arial"/>
    </font>
    <font>
      <b/>
      <color rgb="FF000000"/>
      <sz val="9"/>
      <name val="Arial"/>
    </font>
    <font>
      <b/>
      <color theme="1"/>
      <sz val="9"/>
      <name val="Arial"/>
    </font>
    <font>
      <b/>
      <color theme="1"/>
      <sz val="8"/>
      <name val="Arial"/>
    </font>
    <font>
      <b/>
      <color rgb="FF000000"/>
      <sz val="15"/>
      <name val="Arial"/>
    </font>
    <font>
      <b/>
      <color rgb="FF000000"/>
      <sz val="8"/>
      <name val="Arial"/>
    </font>
    <font>
      <color rgb="FF999999"/>
      <sz val="8"/>
      <name val="Arial"/>
    </font>
    <font>
      <color rgb="FFFFFFFF"/>
      <sz val="9"/>
      <name val="Arial"/>
    </font>
    <font>
      <color theme="1"/>
      <sz val="10"/>
      <name val="Arial"/>
    </font>
    <font>
      <b/>
      <color rgb="FF434343"/>
      <sz val="15"/>
      <name val="Arial"/>
    </font>
    <font>
      <color rgb="FF666666"/>
      <sz val="8"/>
      <name val="Arial"/>
    </font>
  </fonts>
  <fills count="30">
    <fill>
      <patternFill patternType="none"/>
    </fill>
    <fill>
      <patternFill patternType="gray125"/>
    </fill>
    <fill>
      <patternFill patternType="solid">
        <fgColor rgb="FFFFFFFF"/>
        <bgColor rgb="FFFFFFFF"/>
      </patternFill>
    </fill>
    <fill>
      <patternFill patternType="solid">
        <fgColor rgb="FF351C75"/>
        <bgColor rgb="FF351C75"/>
      </patternFill>
    </fill>
    <fill>
      <patternFill patternType="solid">
        <fgColor rgb="FFF3F3F3"/>
        <bgColor rgb="FFF3F3F3"/>
      </patternFill>
    </fill>
    <fill>
      <patternFill patternType="solid">
        <fgColor rgb="FF666666"/>
        <bgColor rgb="FF666666"/>
      </patternFill>
    </fill>
    <fill>
      <patternFill patternType="solid">
        <fgColor rgb="FFFFE599"/>
        <bgColor rgb="FFFFE599"/>
      </patternFill>
    </fill>
    <fill>
      <patternFill patternType="solid">
        <fgColor rgb="FFD9D9D9"/>
        <bgColor rgb="FFD9D9D9"/>
      </patternFill>
    </fill>
    <fill>
      <patternFill patternType="solid">
        <fgColor rgb="FFB7B7B7"/>
        <bgColor rgb="FFB7B7B7"/>
      </patternFill>
    </fill>
    <fill>
      <patternFill patternType="solid">
        <fgColor rgb="FFD9D2E9"/>
        <bgColor rgb="FFD9D2E9"/>
      </patternFill>
    </fill>
    <fill>
      <patternFill patternType="solid">
        <fgColor theme="0"/>
        <bgColor theme="0"/>
      </patternFill>
    </fill>
    <fill>
      <patternFill patternType="solid">
        <fgColor rgb="FF7F6000"/>
        <bgColor rgb="FF7F6000"/>
      </patternFill>
    </fill>
    <fill>
      <patternFill patternType="solid">
        <fgColor rgb="FFF1C232"/>
        <bgColor rgb="FFF1C232"/>
      </patternFill>
    </fill>
    <fill>
      <patternFill patternType="solid">
        <fgColor rgb="FFFFF2CC"/>
        <bgColor rgb="FFFFF2CC"/>
      </patternFill>
    </fill>
    <fill>
      <patternFill patternType="solid">
        <fgColor rgb="FF134F5C"/>
        <bgColor rgb="FF134F5C"/>
      </patternFill>
    </fill>
    <fill>
      <patternFill patternType="solid">
        <fgColor rgb="FFEFEFEF"/>
        <bgColor rgb="FFEFEFEF"/>
      </patternFill>
    </fill>
    <fill>
      <patternFill patternType="solid">
        <fgColor rgb="FF45818E"/>
        <bgColor rgb="FF45818E"/>
      </patternFill>
    </fill>
    <fill>
      <patternFill patternType="solid">
        <fgColor rgb="FFD0E0E3"/>
        <bgColor rgb="FFD0E0E3"/>
      </patternFill>
    </fill>
    <fill>
      <patternFill patternType="solid">
        <fgColor rgb="FF1C4587"/>
        <bgColor rgb="FF1C4587"/>
      </patternFill>
    </fill>
    <fill>
      <patternFill patternType="solid">
        <fgColor rgb="FFA4C2F4"/>
        <bgColor rgb="FFA4C2F4"/>
      </patternFill>
    </fill>
    <fill>
      <patternFill patternType="solid">
        <fgColor rgb="FFFCE5CD"/>
        <bgColor rgb="FFFCE5CD"/>
      </patternFill>
    </fill>
    <fill>
      <patternFill patternType="solid">
        <fgColor rgb="FF6D9EEB"/>
        <bgColor rgb="FF6D9EEB"/>
      </patternFill>
    </fill>
    <fill>
      <patternFill patternType="solid">
        <fgColor rgb="FF3C78D8"/>
        <bgColor rgb="FF3C78D8"/>
      </patternFill>
    </fill>
    <fill>
      <patternFill patternType="solid">
        <fgColor rgb="FF1155CC"/>
        <bgColor rgb="FF1155CC"/>
      </patternFill>
    </fill>
    <fill>
      <patternFill patternType="solid">
        <fgColor rgb="FFD9EAD3"/>
        <bgColor rgb="FFD9EAD3"/>
      </patternFill>
    </fill>
    <fill>
      <patternFill patternType="solid">
        <fgColor rgb="FF3D85C6"/>
        <bgColor rgb="FF3D85C6"/>
      </patternFill>
    </fill>
    <fill>
      <patternFill patternType="solid">
        <fgColor rgb="FFCFE2F3"/>
        <bgColor rgb="FFCFE2F3"/>
      </patternFill>
    </fill>
    <fill>
      <patternFill patternType="solid">
        <fgColor rgb="FF5B0F00"/>
        <bgColor rgb="FF5B0F00"/>
      </patternFill>
    </fill>
    <fill>
      <patternFill patternType="solid">
        <fgColor rgb="FF85200C"/>
        <bgColor rgb="FF85200C"/>
      </patternFill>
    </fill>
    <fill>
      <patternFill patternType="solid">
        <fgColor rgb="FFE6B8AF"/>
        <bgColor rgb="FFE6B8AF"/>
      </patternFill>
    </fill>
  </fills>
  <borders count="7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top/>
      <bottom/>
      <diagonal/>
    </border>
    <border>
      <left/>
      <right style="thin">
        <color rgb="FFFFFFFF"/>
      </right>
      <top/>
      <bottom/>
      <diagonal/>
    </border>
    <border>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top style="thin">
        <color rgb="FF000000"/>
      </top>
      <bottom/>
      <diagonal/>
    </border>
    <border>
      <left/>
      <right/>
      <top style="thin">
        <color rgb="FF000000"/>
      </top>
      <bottom/>
      <diagonal/>
    </border>
    <border>
      <left/>
      <right style="thin">
        <color rgb="FFFFFFFF"/>
      </right>
      <top style="thin">
        <color rgb="FF000000"/>
      </top>
      <bottom/>
      <diagonal/>
    </border>
    <border>
      <left style="thin">
        <color rgb="FFFFFFFF"/>
      </left>
      <right/>
      <top style="thin">
        <color rgb="FF000000"/>
      </top>
      <bottom/>
      <diagonal/>
    </border>
    <border>
      <left style="thin">
        <color rgb="FF000000"/>
      </left>
      <right style="thin">
        <color rgb="FF000000"/>
      </right>
      <top/>
      <bottom style="thin">
        <color rgb="FF000000"/>
      </bottom>
      <diagonal/>
    </border>
    <border>
      <left style="thin">
        <color rgb="FF666666"/>
      </left>
      <right style="thin">
        <color rgb="FF666666"/>
      </right>
      <top style="thin">
        <color rgb="FF666666"/>
      </top>
      <bottom style="thin">
        <color rgb="FF666666"/>
      </bottom>
      <diagonal/>
    </border>
    <border>
      <left style="thin">
        <color rgb="FFFFFFFF"/>
      </left>
      <right style="thin">
        <color rgb="FFFFFFFF"/>
      </right>
      <top/>
      <bottom style="thin">
        <color rgb="FFFFFFFF"/>
      </bottom>
      <diagonal/>
    </border>
    <border>
      <left style="thin">
        <color rgb="FFFFFFFF"/>
      </left>
      <right/>
      <top style="thin">
        <color rgb="FF000000"/>
      </top>
      <bottom style="thin">
        <color rgb="FF000000"/>
      </bottom>
      <diagonal/>
    </border>
    <border>
      <left style="thin">
        <color rgb="FFFFFFFF"/>
      </left>
      <right/>
      <top/>
      <bottom style="thin">
        <color rgb="FFFFFFFF"/>
      </bottom>
      <diagonal/>
    </border>
    <border>
      <left style="thin">
        <color rgb="FF000000"/>
      </left>
      <right style="thin">
        <color rgb="FF000000"/>
      </right>
      <top style="thin">
        <color rgb="FF000000"/>
      </top>
      <bottom style="medium">
        <color rgb="FF8E7CC3"/>
      </bottom>
      <diagonal/>
    </border>
    <border>
      <left style="thin">
        <color rgb="FF000000"/>
      </left>
      <right/>
      <top/>
      <bottom style="thin">
        <color rgb="FF000000"/>
      </bottom>
      <diagonal/>
    </border>
    <border>
      <left/>
      <right style="thin">
        <color rgb="FFFFFFFF"/>
      </right>
      <top/>
      <bottom style="thin">
        <color rgb="FF000000"/>
      </bottom>
      <diagonal/>
    </border>
    <border>
      <left style="thin">
        <color rgb="FF000000"/>
      </left>
      <right style="thin">
        <color rgb="FF000000"/>
      </right>
      <top style="medium">
        <color rgb="FF8E7CC3"/>
      </top>
      <bottom style="thin">
        <color rgb="FF000000"/>
      </bottom>
      <diagonal/>
    </border>
    <border>
      <left/>
      <right style="thin">
        <color rgb="FFFFFFFF"/>
      </right>
      <top style="thin">
        <color rgb="FFFFFFFF"/>
      </top>
      <bottom/>
      <diagonal/>
    </border>
    <border>
      <left/>
      <right style="thin">
        <color rgb="FFFFFFFF"/>
      </right>
      <top style="thin">
        <color rgb="FF000000"/>
      </top>
      <bottom style="thin">
        <color rgb="FF000000"/>
      </bottom>
      <diagonal/>
    </border>
    <border>
      <left/>
      <right/>
      <top style="thin">
        <color rgb="FFFFFFFF"/>
      </top>
      <bottom/>
      <diagonal/>
    </border>
    <border>
      <left style="thin">
        <color rgb="FF000000"/>
      </left>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000000"/>
      </left>
      <right style="thin">
        <color rgb="FFF1C232"/>
      </right>
      <top style="thin">
        <color rgb="FF000000"/>
      </top>
      <bottom/>
      <diagonal/>
    </border>
    <border>
      <left/>
      <right/>
      <top style="thin">
        <color rgb="FF000000"/>
      </top>
      <bottom style="thin">
        <color rgb="FFFFFFFF"/>
      </bottom>
      <diagonal/>
    </border>
    <border>
      <left style="thin">
        <color rgb="FFFFFFFF"/>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F1C232"/>
      </right>
      <top style="thin">
        <color rgb="FF000000"/>
      </top>
      <bottom/>
      <diagonal/>
    </border>
    <border>
      <left style="thin">
        <color rgb="FFFFFFFF"/>
      </left>
      <right style="thin">
        <color rgb="FF000000"/>
      </right>
      <top style="thin">
        <color rgb="FF000000"/>
      </top>
      <bottom style="thin">
        <color rgb="FFFFFFFF"/>
      </bottom>
      <diagonal/>
    </border>
    <border>
      <left style="thin">
        <color rgb="FFFFFFFF"/>
      </left>
      <right style="thin">
        <color rgb="FF000000"/>
      </right>
      <top style="thin">
        <color rgb="FF000000"/>
      </top>
      <bottom/>
      <diagonal/>
    </border>
    <border>
      <left style="thin">
        <color rgb="FF000000"/>
      </left>
      <right/>
      <top style="thin">
        <color rgb="FFFFFFFF"/>
      </top>
      <bottom style="thin">
        <color rgb="FF000000"/>
      </bottom>
      <diagonal/>
    </border>
    <border>
      <left/>
      <right style="thin">
        <color rgb="FFFFFFFF"/>
      </right>
      <top style="thin">
        <color rgb="FFFFFFFF"/>
      </top>
      <bottom style="thin">
        <color rgb="FF000000"/>
      </bottom>
      <diagonal/>
    </border>
    <border>
      <left style="thin">
        <color rgb="FF000000"/>
      </left>
      <right style="thin">
        <color rgb="FFF1C232"/>
      </right>
      <top/>
      <bottom style="thin">
        <color rgb="FF000000"/>
      </bottom>
      <diagonal/>
    </border>
    <border>
      <left/>
      <right/>
      <top style="thin">
        <color rgb="FFFFFFFF"/>
      </top>
      <bottom style="thin">
        <color rgb="FF000000"/>
      </bottom>
      <diagonal/>
    </border>
    <border>
      <left style="thin">
        <color rgb="FFFFFFFF"/>
      </left>
      <right/>
      <top style="thin">
        <color rgb="FFFFFFFF"/>
      </top>
      <bottom style="thin">
        <color rgb="FF000000"/>
      </bottom>
      <diagonal/>
    </border>
    <border>
      <left/>
      <right style="thin">
        <color rgb="FF000000"/>
      </right>
      <top style="thin">
        <color rgb="FFFFFFFF"/>
      </top>
      <bottom style="thin">
        <color rgb="FF000000"/>
      </bottom>
      <diagonal/>
    </border>
    <border>
      <left/>
      <right style="thin">
        <color rgb="FFF1C232"/>
      </right>
      <top/>
      <bottom style="thin">
        <color rgb="FF000000"/>
      </bottom>
      <diagonal/>
    </border>
    <border>
      <left style="thin">
        <color rgb="FFFFFFFF"/>
      </left>
      <right style="thin">
        <color rgb="FF000000"/>
      </right>
      <top style="thin">
        <color rgb="FFFFFFFF"/>
      </top>
      <bottom style="thin">
        <color rgb="FF000000"/>
      </bottom>
      <diagonal/>
    </border>
    <border>
      <left style="thin">
        <color rgb="FFFFFFFF"/>
      </left>
      <right style="thin">
        <color rgb="FF000000"/>
      </right>
      <top/>
      <bottom style="thin">
        <color rgb="FF000000"/>
      </bottom>
      <diagonal/>
    </border>
    <border>
      <left/>
      <right style="thin">
        <color rgb="FF000000"/>
      </right>
      <top style="thin">
        <color rgb="FF000000"/>
      </top>
      <bottom/>
      <diagonal/>
    </border>
    <border>
      <left style="thin">
        <color rgb="FFB7B7B7"/>
      </left>
      <right style="thin">
        <color rgb="FFB7B7B7"/>
      </right>
      <top/>
      <bottom style="thin">
        <color rgb="FFB7B7B7"/>
      </bottom>
      <diagonal/>
    </border>
    <border>
      <left style="thin">
        <color rgb="FF000000"/>
      </left>
      <right style="thin">
        <color rgb="FF7F6000"/>
      </right>
      <top style="thin">
        <color rgb="FF000000"/>
      </top>
      <bottom style="thin">
        <color rgb="FF000000"/>
      </bottom>
      <diagonal/>
    </border>
    <border>
      <left style="thin">
        <color rgb="FF7F6000"/>
      </left>
      <right style="thin">
        <color rgb="FF7F6000"/>
      </right>
      <top style="thin">
        <color rgb="FF000000"/>
      </top>
      <bottom style="thin">
        <color rgb="FF000000"/>
      </bottom>
      <diagonal/>
    </border>
    <border>
      <left style="thin">
        <color rgb="FF7F6000"/>
      </left>
      <right style="thin">
        <color rgb="FF000000"/>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FFFFFF"/>
      </top>
      <bottom/>
      <diagonal/>
    </border>
    <border>
      <left/>
      <right style="thin">
        <color rgb="FFC9DAF8"/>
      </right>
      <top style="thin">
        <color rgb="FF000000"/>
      </top>
      <bottom style="thin">
        <color rgb="FF000000"/>
      </bottom>
      <diagonal/>
    </border>
    <border>
      <left style="thin">
        <color rgb="FFC9DAF8"/>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666666"/>
      </left>
      <right/>
      <top style="thin">
        <color rgb="FF666666"/>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FFFFFF"/>
      </left>
      <right style="thin">
        <color rgb="FFFFFFFF"/>
      </right>
      <top/>
      <bottom style="thin">
        <color rgb="FF000000"/>
      </bottom>
      <diagonal/>
    </border>
    <border>
      <left style="thin">
        <color rgb="FF000000"/>
      </left>
      <right style="thin">
        <color rgb="FF000000"/>
      </right>
      <top/>
      <bottom/>
      <diagonal/>
    </border>
    <border>
      <left/>
      <right style="thin">
        <color rgb="FF3C78D8"/>
      </right>
      <top style="thin">
        <color rgb="FF000000"/>
      </top>
      <bottom style="thin">
        <color rgb="FF000000"/>
      </bottom>
      <diagonal/>
    </border>
    <border>
      <left style="thin">
        <color rgb="FF3C78D8"/>
      </left>
      <right style="thin">
        <color rgb="FF3C78D8"/>
      </right>
      <top style="thin">
        <color rgb="FF000000"/>
      </top>
      <bottom style="thin">
        <color rgb="FF000000"/>
      </bottom>
      <diagonal/>
    </border>
    <border>
      <left style="thin">
        <color rgb="FF3C78D8"/>
      </left>
      <right style="thin">
        <color rgb="FF000000"/>
      </right>
      <top style="thin">
        <color rgb="FF000000"/>
      </top>
      <bottom style="thin">
        <color rgb="FF000000"/>
      </bottom>
      <diagonal/>
    </border>
    <border>
      <left style="thin">
        <color rgb="FFFFFFFF"/>
      </left>
      <right style="thin">
        <color rgb="FFFFFFFF"/>
      </right>
      <top style="thin">
        <color rgb="FF000000"/>
      </top>
      <bottom style="thin">
        <color rgb="FFFFFFFF"/>
      </bottom>
      <diagonal/>
    </border>
    <border>
      <left style="thin">
        <color rgb="FFFFFFFF"/>
      </left>
      <right style="thin">
        <color rgb="FFFFFFFF"/>
      </right>
      <top style="thin">
        <color rgb="FF000000"/>
      </top>
      <bottom/>
      <diagonal/>
    </border>
    <border>
      <left/>
      <right/>
      <top/>
      <bottom style="thin">
        <color rgb="FF000000"/>
      </bottom>
      <diagonal/>
    </border>
    <border>
      <left style="thin">
        <color rgb="FFFFFFFF"/>
      </left>
      <right style="thin">
        <color rgb="FFFFFFFF"/>
      </right>
      <top style="thin">
        <color rgb="FFFFFFFF"/>
      </top>
      <bottom style="thin">
        <color rgb="FF000000"/>
      </bottom>
      <diagonal/>
    </border>
  </borders>
  <cellStyleXfs count="1">
    <xf numFmtId="0" fontId="0" fillId="0" borderId="0"/>
  </cellStyleXfs>
  <cellXfs count="296">
    <xf numFmtId="0" fontId="0" fillId="0" borderId="0" xfId="0"/>
    <xf numFmtId="0" fontId="1" fillId="2" borderId="1" xfId="0"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164" fontId="1" fillId="0" borderId="2" xfId="0" applyNumberFormat="1" applyFont="1" applyBorder="1" applyAlignment="1">
      <alignment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3" fillId="0" borderId="5" xfId="0" applyFont="1" applyBorder="1"/>
    <xf numFmtId="0" fontId="3" fillId="0" borderId="6" xfId="0" applyFont="1" applyBorder="1"/>
    <xf numFmtId="0" fontId="1" fillId="2" borderId="7" xfId="0" applyFont="1" applyFill="1" applyBorder="1" applyAlignment="1">
      <alignment horizontal="center" vertical="center"/>
    </xf>
    <xf numFmtId="0" fontId="1" fillId="0" borderId="8" xfId="0" applyFont="1" applyBorder="1" applyAlignment="1">
      <alignment vertical="center"/>
    </xf>
    <xf numFmtId="0" fontId="1" fillId="0" borderId="9" xfId="0" applyFont="1" applyBorder="1" applyAlignment="1">
      <alignment vertical="center" wrapText="1"/>
    </xf>
    <xf numFmtId="0" fontId="1" fillId="0" borderId="9" xfId="0" applyFont="1" applyBorder="1" applyAlignment="1">
      <alignment horizontal="center" vertical="center" wrapText="1"/>
    </xf>
    <xf numFmtId="0" fontId="1" fillId="0" borderId="9" xfId="0" applyFont="1" applyBorder="1" applyAlignment="1">
      <alignment vertical="center"/>
    </xf>
    <xf numFmtId="0" fontId="1" fillId="0" borderId="10" xfId="0" applyFont="1" applyBorder="1" applyAlignment="1">
      <alignment horizontal="center" vertical="center" wrapText="1"/>
    </xf>
    <xf numFmtId="0" fontId="4" fillId="3" borderId="4" xfId="0" applyFont="1" applyFill="1" applyBorder="1" applyAlignment="1">
      <alignment horizontal="center" vertical="center"/>
    </xf>
    <xf numFmtId="0" fontId="1" fillId="4" borderId="11" xfId="0" applyFont="1" applyFill="1" applyBorder="1" applyAlignment="1">
      <alignment horizontal="center" vertical="center" wrapText="1"/>
    </xf>
    <xf numFmtId="3" fontId="2" fillId="5" borderId="11" xfId="0" applyNumberFormat="1" applyFont="1" applyFill="1" applyBorder="1" applyAlignment="1">
      <alignment horizontal="center" vertical="center"/>
    </xf>
    <xf numFmtId="0" fontId="1" fillId="0" borderId="3" xfId="0" applyFont="1" applyBorder="1" applyAlignment="1">
      <alignment horizontal="center" vertical="center" wrapText="1"/>
    </xf>
    <xf numFmtId="0" fontId="1" fillId="4" borderId="4" xfId="0" applyFont="1" applyFill="1" applyBorder="1" applyAlignment="1">
      <alignment horizontal="center" vertical="center" wrapText="1"/>
    </xf>
    <xf numFmtId="0" fontId="1" fillId="6" borderId="11" xfId="0" applyFont="1" applyFill="1" applyBorder="1" applyAlignment="1">
      <alignment horizontal="center" vertical="center"/>
    </xf>
    <xf numFmtId="0" fontId="1" fillId="0" borderId="12" xfId="0" applyFont="1" applyBorder="1" applyAlignment="1">
      <alignment horizontal="center" vertical="center"/>
    </xf>
    <xf numFmtId="0" fontId="1" fillId="0" borderId="7" xfId="0" applyFont="1" applyBorder="1" applyAlignment="1">
      <alignment horizontal="center" vertical="center" wrapText="1"/>
    </xf>
    <xf numFmtId="0" fontId="1" fillId="0" borderId="13" xfId="0" applyFont="1" applyBorder="1" applyAlignment="1">
      <alignment horizontal="center" vertical="center" wrapText="1"/>
    </xf>
    <xf numFmtId="0" fontId="4" fillId="3" borderId="14" xfId="0" applyFont="1" applyFill="1" applyBorder="1" applyAlignment="1">
      <alignment horizontal="center" vertical="center"/>
    </xf>
    <xf numFmtId="0" fontId="3" fillId="0" borderId="15" xfId="0" applyFont="1" applyBorder="1"/>
    <xf numFmtId="0" fontId="3" fillId="0" borderId="16" xfId="0" applyFont="1" applyBorder="1"/>
    <xf numFmtId="0" fontId="4" fillId="3" borderId="17"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8" borderId="11" xfId="0" applyFont="1" applyFill="1" applyBorder="1" applyAlignment="1">
      <alignment horizontal="center" vertical="center"/>
    </xf>
    <xf numFmtId="0" fontId="5" fillId="8" borderId="11" xfId="0" applyFont="1" applyFill="1" applyBorder="1" applyAlignment="1">
      <alignment horizontal="center" vertical="center" wrapText="1"/>
    </xf>
    <xf numFmtId="0" fontId="5" fillId="8" borderId="18" xfId="0" applyFont="1" applyFill="1" applyBorder="1" applyAlignment="1">
      <alignment horizontal="center" vertical="center"/>
    </xf>
    <xf numFmtId="0" fontId="5" fillId="0" borderId="11" xfId="0" applyFont="1" applyBorder="1" applyAlignment="1">
      <alignment horizontal="center" vertical="center"/>
    </xf>
    <xf numFmtId="0" fontId="5" fillId="0" borderId="11" xfId="0" applyFont="1" applyBorder="1" applyAlignment="1">
      <alignment vertical="center" wrapText="1"/>
    </xf>
    <xf numFmtId="0" fontId="1" fillId="0" borderId="4" xfId="0" applyFont="1" applyBorder="1" applyAlignment="1">
      <alignment horizontal="left" vertical="center" wrapText="1"/>
    </xf>
    <xf numFmtId="0" fontId="5" fillId="0" borderId="11" xfId="0" applyFont="1" applyBorder="1" applyAlignment="1">
      <alignment horizontal="left" vertical="center"/>
    </xf>
    <xf numFmtId="0" fontId="5" fillId="9" borderId="19" xfId="0" applyFont="1" applyFill="1" applyBorder="1" applyAlignment="1">
      <alignment vertical="center" wrapText="1"/>
    </xf>
    <xf numFmtId="0" fontId="1" fillId="0" borderId="11" xfId="0" applyFont="1" applyBorder="1" applyAlignment="1">
      <alignment horizontal="left" vertical="center" wrapText="1"/>
    </xf>
    <xf numFmtId="0" fontId="1" fillId="4" borderId="11" xfId="0" applyFont="1" applyFill="1" applyBorder="1" applyAlignment="1">
      <alignment horizontal="center" vertical="center"/>
    </xf>
    <xf numFmtId="0" fontId="1" fillId="4" borderId="11" xfId="0" applyFont="1" applyFill="1" applyBorder="1" applyAlignment="1">
      <alignment horizontal="left" vertical="center" wrapText="1"/>
    </xf>
    <xf numFmtId="14" fontId="1" fillId="4" borderId="11" xfId="0" applyNumberFormat="1" applyFont="1" applyFill="1" applyBorder="1" applyAlignment="1">
      <alignment horizontal="center" vertical="center"/>
    </xf>
    <xf numFmtId="0" fontId="1" fillId="8" borderId="11" xfId="0" applyFont="1" applyFill="1" applyBorder="1" applyAlignment="1">
      <alignment horizontal="center" vertical="center" wrapText="1"/>
    </xf>
    <xf numFmtId="14" fontId="5" fillId="0" borderId="11" xfId="0" applyNumberFormat="1" applyFont="1" applyBorder="1" applyAlignment="1">
      <alignment horizontal="center" vertical="center"/>
    </xf>
    <xf numFmtId="0" fontId="5" fillId="0" borderId="11" xfId="0" applyFont="1" applyBorder="1" applyAlignment="1">
      <alignment horizontal="left" vertical="center" wrapText="1"/>
    </xf>
    <xf numFmtId="0" fontId="1" fillId="0" borderId="3" xfId="0" applyFont="1" applyBorder="1" applyAlignment="1">
      <alignment horizontal="center" vertical="center"/>
    </xf>
    <xf numFmtId="0" fontId="5" fillId="10" borderId="11" xfId="0" applyFont="1" applyFill="1" applyBorder="1" applyAlignment="1">
      <alignment horizontal="center" vertical="center"/>
    </xf>
    <xf numFmtId="0" fontId="1" fillId="10" borderId="11" xfId="0" applyFont="1" applyFill="1" applyBorder="1" applyAlignment="1">
      <alignment horizontal="left" vertical="center" wrapText="1"/>
    </xf>
    <xf numFmtId="0" fontId="5" fillId="0" borderId="0" xfId="0" applyFont="1" applyAlignment="1">
      <alignment vertical="center" wrapText="1"/>
    </xf>
    <xf numFmtId="0" fontId="5" fillId="2" borderId="11" xfId="0" applyFont="1" applyFill="1" applyBorder="1" applyAlignment="1">
      <alignment horizontal="left" vertical="center"/>
    </xf>
    <xf numFmtId="0" fontId="1" fillId="0" borderId="13" xfId="0" applyFont="1" applyBorder="1" applyAlignment="1">
      <alignment vertical="center"/>
    </xf>
    <xf numFmtId="0" fontId="1" fillId="0" borderId="13" xfId="0" applyFont="1" applyBorder="1" applyAlignment="1">
      <alignment vertical="center" wrapText="1"/>
    </xf>
    <xf numFmtId="0" fontId="1" fillId="0" borderId="13" xfId="0" applyFont="1" applyBorder="1" applyAlignment="1">
      <alignment horizontal="center" vertical="center"/>
    </xf>
    <xf numFmtId="0" fontId="6" fillId="3" borderId="4" xfId="0" applyFont="1" applyFill="1" applyBorder="1" applyAlignment="1">
      <alignment horizontal="center" vertical="center"/>
    </xf>
    <xf numFmtId="0" fontId="1" fillId="0" borderId="20" xfId="0" applyFont="1" applyBorder="1" applyAlignment="1">
      <alignment vertical="center"/>
    </xf>
    <xf numFmtId="0" fontId="1" fillId="0" borderId="20" xfId="0" applyFont="1" applyBorder="1" applyAlignment="1">
      <alignment vertical="center" wrapText="1"/>
    </xf>
    <xf numFmtId="0" fontId="4" fillId="5" borderId="21" xfId="0" applyFont="1" applyFill="1" applyBorder="1" applyAlignment="1">
      <alignment horizontal="center" vertical="center" wrapText="1"/>
    </xf>
    <xf numFmtId="0" fontId="1" fillId="0" borderId="11" xfId="0" applyFont="1" applyBorder="1" applyAlignment="1">
      <alignment horizontal="center" vertical="center"/>
    </xf>
    <xf numFmtId="14" fontId="1" fillId="0" borderId="11" xfId="0" applyNumberFormat="1"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0" borderId="22" xfId="0" applyFont="1" applyBorder="1" applyAlignment="1">
      <alignment vertical="center" wrapText="1"/>
    </xf>
    <xf numFmtId="0" fontId="3" fillId="0" borderId="10" xfId="0" applyFont="1" applyBorder="1"/>
    <xf numFmtId="0" fontId="1" fillId="0" borderId="20" xfId="0" applyFont="1" applyBorder="1" applyAlignment="1">
      <alignment horizontal="center" vertical="center"/>
    </xf>
    <xf numFmtId="0" fontId="1" fillId="0" borderId="20" xfId="0" applyFont="1" applyBorder="1" applyAlignment="1">
      <alignment horizontal="center" vertical="center" wrapText="1"/>
    </xf>
    <xf numFmtId="164" fontId="1" fillId="0" borderId="20" xfId="0" applyNumberFormat="1" applyFont="1" applyBorder="1" applyAlignment="1">
      <alignment vertical="center"/>
    </xf>
    <xf numFmtId="0" fontId="1" fillId="2" borderId="12" xfId="0" applyFont="1" applyFill="1" applyBorder="1" applyAlignment="1">
      <alignment horizontal="center" vertical="center"/>
    </xf>
    <xf numFmtId="0" fontId="6" fillId="3" borderId="3" xfId="0" applyFont="1" applyFill="1" applyBorder="1" applyAlignment="1">
      <alignment horizontal="center" vertical="center"/>
    </xf>
    <xf numFmtId="0" fontId="3" fillId="0" borderId="12" xfId="0" applyFont="1" applyBorder="1"/>
    <xf numFmtId="0" fontId="3" fillId="0" borderId="7" xfId="0" applyFont="1" applyBorder="1"/>
    <xf numFmtId="0" fontId="1" fillId="2" borderId="9" xfId="0" applyFont="1" applyFill="1" applyBorder="1" applyAlignment="1">
      <alignment horizontal="center" vertical="center"/>
    </xf>
    <xf numFmtId="0" fontId="1" fillId="0" borderId="1" xfId="0" applyFont="1" applyBorder="1" applyAlignment="1">
      <alignment horizontal="center" vertical="center" wrapText="1"/>
    </xf>
    <xf numFmtId="0" fontId="1" fillId="4" borderId="6" xfId="0" applyFont="1" applyFill="1" applyBorder="1" applyAlignment="1">
      <alignment horizontal="center" vertical="center" wrapText="1"/>
    </xf>
    <xf numFmtId="3" fontId="2" fillId="5" borderId="23" xfId="0" applyNumberFormat="1" applyFont="1" applyFill="1" applyBorder="1" applyAlignment="1">
      <alignment horizontal="center" vertical="center"/>
    </xf>
    <xf numFmtId="0" fontId="1" fillId="0" borderId="7" xfId="0" applyFont="1" applyBorder="1" applyAlignment="1">
      <alignment vertical="center"/>
    </xf>
    <xf numFmtId="0" fontId="3" fillId="0" borderId="24" xfId="0" applyFont="1" applyBorder="1"/>
    <xf numFmtId="0" fontId="3" fillId="0" borderId="25" xfId="0" applyFont="1" applyBorder="1"/>
    <xf numFmtId="3" fontId="2" fillId="5" borderId="26" xfId="0" applyNumberFormat="1" applyFont="1" applyFill="1" applyBorder="1" applyAlignment="1">
      <alignment horizontal="center" vertical="center"/>
    </xf>
    <xf numFmtId="0" fontId="1" fillId="0" borderId="27" xfId="0" applyFont="1" applyBorder="1" applyAlignment="1">
      <alignment vertical="center"/>
    </xf>
    <xf numFmtId="0" fontId="3" fillId="0" borderId="28" xfId="0" applyFont="1" applyBorder="1"/>
    <xf numFmtId="0" fontId="6" fillId="5" borderId="4"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2" borderId="11" xfId="0" applyFont="1" applyFill="1" applyBorder="1" applyAlignment="1">
      <alignment horizontal="center" vertical="center"/>
    </xf>
    <xf numFmtId="0" fontId="1" fillId="7" borderId="11" xfId="0" applyFont="1" applyFill="1" applyBorder="1" applyAlignment="1">
      <alignment horizontal="center" vertical="center"/>
    </xf>
    <xf numFmtId="0" fontId="1" fillId="4" borderId="4"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2" borderId="29"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3"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4" fillId="11" borderId="4" xfId="0" applyFont="1" applyFill="1" applyBorder="1" applyAlignment="1">
      <alignment horizontal="center" vertical="center"/>
    </xf>
    <xf numFmtId="0" fontId="2" fillId="11" borderId="4" xfId="0" applyFont="1" applyFill="1" applyBorder="1" applyAlignment="1">
      <alignment horizontal="center" vertical="center"/>
    </xf>
    <xf numFmtId="164" fontId="1" fillId="0" borderId="2" xfId="0" applyNumberFormat="1" applyFont="1" applyBorder="1" applyAlignment="1">
      <alignment vertical="center" wrapText="1"/>
    </xf>
    <xf numFmtId="0" fontId="7" fillId="12" borderId="30" xfId="0" applyFont="1" applyFill="1" applyBorder="1" applyAlignment="1">
      <alignment horizontal="center" vertical="center"/>
    </xf>
    <xf numFmtId="0" fontId="3" fillId="0" borderId="31" xfId="0" applyFont="1" applyBorder="1"/>
    <xf numFmtId="3" fontId="7" fillId="7" borderId="11" xfId="0" applyNumberFormat="1" applyFont="1" applyFill="1" applyBorder="1" applyAlignment="1">
      <alignment horizontal="center" vertical="center"/>
    </xf>
    <xf numFmtId="0" fontId="8" fillId="12" borderId="32" xfId="0" applyFont="1" applyFill="1" applyBorder="1" applyAlignment="1">
      <alignment horizontal="center" vertical="center"/>
    </xf>
    <xf numFmtId="0" fontId="9" fillId="12" borderId="33" xfId="0" applyFont="1" applyFill="1" applyBorder="1" applyAlignment="1">
      <alignment horizontal="center" vertical="center"/>
    </xf>
    <xf numFmtId="3" fontId="8" fillId="7" borderId="34" xfId="0" applyNumberFormat="1" applyFont="1" applyFill="1" applyBorder="1" applyAlignment="1">
      <alignment horizontal="center" vertical="center"/>
    </xf>
    <xf numFmtId="0" fontId="3" fillId="0" borderId="35" xfId="0" applyFont="1" applyBorder="1"/>
    <xf numFmtId="0" fontId="8" fillId="12" borderId="14" xfId="0" applyFont="1" applyFill="1" applyBorder="1" applyAlignment="1">
      <alignment horizontal="center" vertical="center"/>
    </xf>
    <xf numFmtId="0" fontId="3" fillId="0" borderId="36" xfId="0" applyFont="1" applyBorder="1"/>
    <xf numFmtId="0" fontId="9" fillId="12" borderId="33" xfId="0" applyFont="1" applyFill="1" applyBorder="1" applyAlignment="1">
      <alignment horizontal="center" vertical="center" wrapText="1"/>
    </xf>
    <xf numFmtId="3" fontId="8" fillId="7" borderId="37" xfId="0" applyNumberFormat="1" applyFont="1" applyFill="1" applyBorder="1" applyAlignment="1">
      <alignment horizontal="center" vertical="center"/>
    </xf>
    <xf numFmtId="0" fontId="8" fillId="12" borderId="14" xfId="0" applyFont="1" applyFill="1" applyBorder="1" applyAlignment="1">
      <alignment horizontal="center" vertical="center" wrapText="1"/>
    </xf>
    <xf numFmtId="165" fontId="10" fillId="7" borderId="38" xfId="0" applyNumberFormat="1" applyFont="1" applyFill="1" applyBorder="1" applyAlignment="1">
      <alignment horizontal="center" vertical="center"/>
    </xf>
    <xf numFmtId="3" fontId="8" fillId="7" borderId="38" xfId="0" applyNumberFormat="1" applyFont="1" applyFill="1" applyBorder="1" applyAlignment="1">
      <alignment horizontal="center" vertical="center"/>
    </xf>
    <xf numFmtId="0" fontId="1" fillId="0" borderId="7" xfId="0" applyFont="1" applyBorder="1" applyAlignment="1">
      <alignment horizontal="center" vertical="center"/>
    </xf>
    <xf numFmtId="0" fontId="7" fillId="12" borderId="39" xfId="0" applyFont="1" applyFill="1" applyBorder="1" applyAlignment="1">
      <alignment horizontal="center" vertical="center" wrapText="1"/>
    </xf>
    <xf numFmtId="0" fontId="3" fillId="0" borderId="40" xfId="0" applyFont="1" applyBorder="1"/>
    <xf numFmtId="165" fontId="8" fillId="7" borderId="11" xfId="0" applyNumberFormat="1" applyFont="1" applyFill="1" applyBorder="1" applyAlignment="1">
      <alignment horizontal="center" vertical="center"/>
    </xf>
    <xf numFmtId="0" fontId="3" fillId="0" borderId="41" xfId="0" applyFont="1" applyBorder="1"/>
    <xf numFmtId="0" fontId="9" fillId="12" borderId="42" xfId="0" applyFont="1" applyFill="1" applyBorder="1" applyAlignment="1">
      <alignment horizontal="center" vertical="center"/>
    </xf>
    <xf numFmtId="3" fontId="8" fillId="7" borderId="43" xfId="0" applyNumberFormat="1" applyFont="1" applyFill="1" applyBorder="1" applyAlignment="1">
      <alignment horizontal="center" vertical="center"/>
    </xf>
    <xf numFmtId="0" fontId="3" fillId="0" borderId="44" xfId="0" applyFont="1" applyBorder="1"/>
    <xf numFmtId="0" fontId="3" fillId="0" borderId="45" xfId="0" applyFont="1" applyBorder="1"/>
    <xf numFmtId="0" fontId="9" fillId="12" borderId="42" xfId="0" applyFont="1" applyFill="1" applyBorder="1" applyAlignment="1">
      <alignment horizontal="center" vertical="center" wrapText="1"/>
    </xf>
    <xf numFmtId="3" fontId="8" fillId="7" borderId="46" xfId="0" applyNumberFormat="1" applyFont="1" applyFill="1" applyBorder="1" applyAlignment="1">
      <alignment horizontal="center" vertical="center"/>
    </xf>
    <xf numFmtId="0" fontId="3" fillId="0" borderId="47" xfId="0" applyFont="1" applyBorder="1"/>
    <xf numFmtId="0" fontId="11" fillId="12" borderId="14" xfId="0" applyFont="1" applyFill="1" applyBorder="1" applyAlignment="1">
      <alignment horizontal="center" vertical="center"/>
    </xf>
    <xf numFmtId="0" fontId="3" fillId="0" borderId="48" xfId="0" applyFont="1" applyBorder="1"/>
    <xf numFmtId="0" fontId="4" fillId="5" borderId="4" xfId="0" applyFont="1" applyFill="1" applyBorder="1" applyAlignment="1">
      <alignment horizontal="center" vertical="center" wrapText="1"/>
    </xf>
    <xf numFmtId="0" fontId="1" fillId="8" borderId="11" xfId="0" applyFont="1" applyFill="1" applyBorder="1" applyAlignment="1">
      <alignment vertical="center" wrapText="1"/>
    </xf>
    <xf numFmtId="1" fontId="12" fillId="0" borderId="49" xfId="0" applyNumberFormat="1" applyFont="1" applyBorder="1" applyAlignment="1">
      <alignment vertical="center"/>
    </xf>
    <xf numFmtId="0" fontId="5" fillId="13" borderId="19" xfId="0" applyFont="1" applyFill="1" applyBorder="1" applyAlignment="1">
      <alignment vertical="center" wrapText="1"/>
    </xf>
    <xf numFmtId="3" fontId="5" fillId="0" borderId="11" xfId="0" applyNumberFormat="1" applyFont="1" applyBorder="1" applyAlignment="1">
      <alignment horizontal="right" vertical="center"/>
    </xf>
    <xf numFmtId="0" fontId="1" fillId="0" borderId="11" xfId="0" applyFont="1" applyBorder="1" applyAlignment="1">
      <alignment horizontal="left" vertical="center"/>
    </xf>
    <xf numFmtId="0" fontId="5" fillId="11" borderId="50" xfId="0" applyFont="1" applyFill="1" applyBorder="1" applyAlignment="1">
      <alignment horizontal="center" vertical="center"/>
    </xf>
    <xf numFmtId="0" fontId="13" fillId="11" borderId="51" xfId="0" applyFont="1" applyFill="1" applyBorder="1" applyAlignment="1">
      <alignment horizontal="left" vertical="center"/>
    </xf>
    <xf numFmtId="0" fontId="5" fillId="11" borderId="51" xfId="0" applyFont="1" applyFill="1" applyBorder="1" applyAlignment="1">
      <alignment horizontal="left" vertical="center"/>
    </xf>
    <xf numFmtId="0" fontId="4" fillId="11" borderId="51" xfId="0" applyFont="1" applyFill="1" applyBorder="1" applyAlignment="1">
      <alignment horizontal="left" vertical="center"/>
    </xf>
    <xf numFmtId="0" fontId="12" fillId="11" borderId="51" xfId="0" applyFont="1" applyFill="1" applyBorder="1" applyAlignment="1">
      <alignment horizontal="left" vertical="center"/>
    </xf>
    <xf numFmtId="0" fontId="5" fillId="11" borderId="51" xfId="0" applyFont="1" applyFill="1" applyBorder="1" applyAlignment="1">
      <alignment horizontal="left" vertical="center" wrapText="1"/>
    </xf>
    <xf numFmtId="0" fontId="1" fillId="11" borderId="51" xfId="0" applyFont="1" applyFill="1" applyBorder="1" applyAlignment="1">
      <alignment horizontal="left" vertical="center" wrapText="1"/>
    </xf>
    <xf numFmtId="0" fontId="1" fillId="11" borderId="51" xfId="0" applyFont="1" applyFill="1" applyBorder="1" applyAlignment="1">
      <alignment horizontal="left" vertical="center"/>
    </xf>
    <xf numFmtId="0" fontId="1" fillId="11" borderId="52" xfId="0" applyFont="1" applyFill="1" applyBorder="1" applyAlignment="1">
      <alignment horizontal="left" vertical="center"/>
    </xf>
    <xf numFmtId="0" fontId="1" fillId="0" borderId="12" xfId="0" applyFont="1" applyBorder="1" applyAlignment="1">
      <alignment vertical="center"/>
    </xf>
    <xf numFmtId="164" fontId="1" fillId="0" borderId="20" xfId="0" applyNumberFormat="1" applyFont="1" applyBorder="1" applyAlignment="1">
      <alignment vertical="center" wrapText="1"/>
    </xf>
    <xf numFmtId="0" fontId="1" fillId="0" borderId="3" xfId="0" applyFont="1" applyBorder="1" applyAlignment="1">
      <alignment vertical="center"/>
    </xf>
    <xf numFmtId="0" fontId="2" fillId="14" borderId="4" xfId="0" applyFont="1" applyFill="1" applyBorder="1" applyAlignment="1">
      <alignment horizontal="center" vertical="center"/>
    </xf>
    <xf numFmtId="0" fontId="1" fillId="0" borderId="10" xfId="0" applyFont="1" applyBorder="1" applyAlignment="1">
      <alignment vertical="center" wrapText="1"/>
    </xf>
    <xf numFmtId="0" fontId="1" fillId="0" borderId="10" xfId="0" applyFont="1" applyBorder="1" applyAlignment="1">
      <alignment vertical="center"/>
    </xf>
    <xf numFmtId="0" fontId="6" fillId="14" borderId="4" xfId="0" applyFont="1" applyFill="1" applyBorder="1" applyAlignment="1">
      <alignment horizontal="center" vertical="center"/>
    </xf>
    <xf numFmtId="3" fontId="2" fillId="5" borderId="53" xfId="0" applyNumberFormat="1" applyFont="1" applyFill="1" applyBorder="1" applyAlignment="1">
      <alignment horizontal="center" vertical="center"/>
    </xf>
    <xf numFmtId="0" fontId="1" fillId="0" borderId="3" xfId="0" applyFont="1" applyBorder="1" applyAlignment="1">
      <alignment vertical="center" wrapText="1"/>
    </xf>
    <xf numFmtId="0" fontId="1" fillId="15" borderId="4" xfId="0" applyFont="1" applyFill="1" applyBorder="1" applyAlignment="1">
      <alignment horizontal="center" vertical="center" wrapText="1"/>
    </xf>
    <xf numFmtId="0" fontId="1" fillId="0" borderId="29" xfId="0" applyFont="1" applyBorder="1" applyAlignment="1">
      <alignment vertical="center" wrapText="1"/>
    </xf>
    <xf numFmtId="0" fontId="1" fillId="0" borderId="8" xfId="0" applyFont="1" applyBorder="1" applyAlignment="1">
      <alignment vertical="center" wrapText="1"/>
    </xf>
    <xf numFmtId="0" fontId="1" fillId="0" borderId="54" xfId="0" applyFont="1" applyBorder="1" applyAlignment="1">
      <alignment vertical="center" wrapText="1"/>
    </xf>
    <xf numFmtId="0" fontId="1" fillId="0" borderId="8" xfId="0" applyFont="1" applyBorder="1" applyAlignment="1">
      <alignment horizontal="center" vertical="center"/>
    </xf>
    <xf numFmtId="0" fontId="1" fillId="0" borderId="54" xfId="0" applyFont="1" applyBorder="1" applyAlignment="1">
      <alignment vertical="center"/>
    </xf>
    <xf numFmtId="0" fontId="6" fillId="16" borderId="4" xfId="0" applyFont="1" applyFill="1" applyBorder="1" applyAlignment="1">
      <alignment horizontal="center" vertical="center" wrapText="1"/>
    </xf>
    <xf numFmtId="0" fontId="3" fillId="0" borderId="55" xfId="0" applyFont="1" applyBorder="1"/>
    <xf numFmtId="0" fontId="6" fillId="14" borderId="56"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5" fillId="7" borderId="57"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8" borderId="11" xfId="0" applyFont="1" applyFill="1" applyBorder="1" applyAlignment="1">
      <alignment horizontal="center" vertical="center"/>
    </xf>
    <xf numFmtId="0" fontId="1" fillId="8" borderId="18" xfId="0" applyFont="1" applyFill="1" applyBorder="1" applyAlignment="1">
      <alignment horizontal="center" vertical="center"/>
    </xf>
    <xf numFmtId="0" fontId="1" fillId="4" borderId="11" xfId="0" applyFont="1" applyFill="1" applyBorder="1" applyAlignment="1">
      <alignment vertical="center" wrapText="1"/>
    </xf>
    <xf numFmtId="0" fontId="1" fillId="4" borderId="11" xfId="0" applyFont="1" applyFill="1" applyBorder="1" applyAlignment="1">
      <alignment vertical="center"/>
    </xf>
    <xf numFmtId="0" fontId="1" fillId="4" borderId="4" xfId="0" applyFont="1" applyFill="1" applyBorder="1" applyAlignment="1">
      <alignment vertical="center"/>
    </xf>
    <xf numFmtId="0" fontId="1" fillId="2" borderId="58" xfId="0" applyFont="1" applyFill="1" applyBorder="1" applyAlignment="1">
      <alignment vertical="center" wrapText="1"/>
    </xf>
    <xf numFmtId="3" fontId="1" fillId="4" borderId="11" xfId="0" applyNumberFormat="1" applyFont="1" applyFill="1" applyBorder="1" applyAlignment="1">
      <alignment horizontal="center" vertical="center"/>
    </xf>
    <xf numFmtId="0" fontId="5" fillId="17" borderId="19" xfId="0" applyFont="1" applyFill="1" applyBorder="1" applyAlignment="1">
      <alignment vertical="center" wrapText="1"/>
    </xf>
    <xf numFmtId="3" fontId="1" fillId="7" borderId="11" xfId="0" applyNumberFormat="1" applyFont="1" applyFill="1" applyBorder="1" applyAlignment="1">
      <alignment horizontal="center" vertical="center"/>
    </xf>
    <xf numFmtId="1" fontId="1" fillId="7" borderId="11" xfId="0" applyNumberFormat="1" applyFont="1" applyFill="1" applyBorder="1" applyAlignment="1">
      <alignment vertical="center" wrapText="1"/>
    </xf>
    <xf numFmtId="0" fontId="1" fillId="7" borderId="11" xfId="0" applyFont="1" applyFill="1" applyBorder="1" applyAlignment="1">
      <alignment vertical="center" wrapText="1"/>
    </xf>
    <xf numFmtId="0" fontId="1" fillId="7" borderId="11" xfId="0" applyFont="1" applyFill="1" applyBorder="1" applyAlignment="1">
      <alignment vertical="center"/>
    </xf>
    <xf numFmtId="164" fontId="1" fillId="7" borderId="11" xfId="0" applyNumberFormat="1" applyFont="1" applyFill="1" applyBorder="1" applyAlignment="1">
      <alignment vertical="center"/>
    </xf>
    <xf numFmtId="0" fontId="1" fillId="0" borderId="11" xfId="0" applyFont="1" applyBorder="1" applyAlignment="1">
      <alignment vertical="center"/>
    </xf>
    <xf numFmtId="164" fontId="1" fillId="0" borderId="11" xfId="0" applyNumberFormat="1" applyFont="1" applyBorder="1" applyAlignment="1">
      <alignment vertical="center"/>
    </xf>
    <xf numFmtId="3" fontId="1"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xf>
    <xf numFmtId="0" fontId="1" fillId="2" borderId="8" xfId="0" applyFont="1" applyFill="1" applyBorder="1" applyAlignment="1">
      <alignment horizontal="center" vertical="center"/>
    </xf>
    <xf numFmtId="0" fontId="2" fillId="18" borderId="4" xfId="0" applyFont="1" applyFill="1" applyBorder="1" applyAlignment="1">
      <alignment horizontal="center" vertical="center"/>
    </xf>
    <xf numFmtId="0" fontId="6" fillId="19" borderId="4" xfId="0" applyFont="1" applyFill="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4" fillId="19" borderId="4" xfId="0" applyFont="1" applyFill="1" applyBorder="1" applyAlignment="1">
      <alignment horizontal="center" vertical="center"/>
    </xf>
    <xf numFmtId="3" fontId="13" fillId="5" borderId="11" xfId="0" applyNumberFormat="1" applyFont="1" applyFill="1" applyBorder="1" applyAlignment="1">
      <alignment horizontal="center" vertical="center"/>
    </xf>
    <xf numFmtId="0" fontId="1" fillId="6" borderId="11" xfId="0" applyFont="1" applyFill="1" applyBorder="1" applyAlignment="1">
      <alignment horizontal="center" vertical="center" wrapText="1"/>
    </xf>
    <xf numFmtId="3" fontId="13" fillId="5" borderId="6" xfId="0" applyNumberFormat="1" applyFont="1" applyFill="1" applyBorder="1" applyAlignment="1">
      <alignment horizontal="center" vertical="center"/>
    </xf>
    <xf numFmtId="0" fontId="4" fillId="19" borderId="4" xfId="0" applyFont="1" applyFill="1" applyBorder="1" applyAlignment="1">
      <alignment horizontal="center" vertical="center" wrapText="1"/>
    </xf>
    <xf numFmtId="0" fontId="1" fillId="7" borderId="59" xfId="0" applyFont="1" applyFill="1" applyBorder="1" applyAlignment="1">
      <alignment horizontal="center" vertical="center" wrapText="1"/>
    </xf>
    <xf numFmtId="0" fontId="3" fillId="0" borderId="60" xfId="0" applyFont="1" applyBorder="1"/>
    <xf numFmtId="0" fontId="1" fillId="7" borderId="24" xfId="0" applyFont="1" applyFill="1" applyBorder="1" applyAlignment="1">
      <alignment horizontal="center" vertical="center" wrapText="1"/>
    </xf>
    <xf numFmtId="0" fontId="3" fillId="0" borderId="61" xfId="0" applyFont="1" applyBorder="1"/>
    <xf numFmtId="0" fontId="1" fillId="2" borderId="4" xfId="0" applyFont="1" applyFill="1" applyBorder="1" applyAlignment="1">
      <alignment vertical="center"/>
    </xf>
    <xf numFmtId="0" fontId="1" fillId="2" borderId="4" xfId="0" applyFont="1" applyFill="1" applyBorder="1" applyAlignment="1">
      <alignment vertical="center" wrapText="1"/>
    </xf>
    <xf numFmtId="3" fontId="1" fillId="2" borderId="11" xfId="0" applyNumberFormat="1" applyFont="1" applyFill="1" applyBorder="1" applyAlignment="1">
      <alignment horizontal="center" vertical="center"/>
    </xf>
    <xf numFmtId="0" fontId="1" fillId="20" borderId="11" xfId="0" applyFont="1" applyFill="1" applyBorder="1" applyAlignment="1">
      <alignment vertical="center" wrapText="1"/>
    </xf>
    <xf numFmtId="14" fontId="1" fillId="7" borderId="11" xfId="0" applyNumberFormat="1" applyFont="1" applyFill="1" applyBorder="1" applyAlignment="1">
      <alignment vertical="center"/>
    </xf>
    <xf numFmtId="0" fontId="1" fillId="15" borderId="11" xfId="0" applyFont="1" applyFill="1" applyBorder="1" applyAlignment="1">
      <alignment vertical="center"/>
    </xf>
    <xf numFmtId="0" fontId="1" fillId="15" borderId="4" xfId="0" applyFont="1" applyFill="1" applyBorder="1" applyAlignment="1">
      <alignment vertical="center"/>
    </xf>
    <xf numFmtId="0" fontId="1" fillId="4" borderId="4" xfId="0" applyFont="1" applyFill="1" applyBorder="1" applyAlignment="1">
      <alignment vertical="center" wrapText="1"/>
    </xf>
    <xf numFmtId="3" fontId="1" fillId="15" borderId="11" xfId="0" applyNumberFormat="1" applyFont="1" applyFill="1" applyBorder="1" applyAlignment="1">
      <alignment horizontal="center" vertical="center"/>
    </xf>
    <xf numFmtId="0" fontId="1" fillId="2" borderId="11" xfId="0" applyFont="1" applyFill="1" applyBorder="1" applyAlignment="1">
      <alignment vertical="center"/>
    </xf>
    <xf numFmtId="0" fontId="3" fillId="0" borderId="9" xfId="0" applyFont="1" applyBorder="1"/>
    <xf numFmtId="0" fontId="6" fillId="21" borderId="4" xfId="0" applyFont="1" applyFill="1" applyBorder="1" applyAlignment="1">
      <alignment horizontal="center" vertical="center"/>
    </xf>
    <xf numFmtId="0" fontId="4" fillId="21" borderId="4" xfId="0" applyFont="1" applyFill="1" applyBorder="1" applyAlignment="1">
      <alignment horizontal="center" vertical="center"/>
    </xf>
    <xf numFmtId="0" fontId="1" fillId="0" borderId="62" xfId="0" applyFont="1" applyBorder="1" applyAlignment="1">
      <alignment vertical="center" wrapText="1"/>
    </xf>
    <xf numFmtId="0" fontId="1" fillId="0" borderId="62" xfId="0" applyFont="1" applyBorder="1" applyAlignment="1">
      <alignment vertical="center"/>
    </xf>
    <xf numFmtId="0" fontId="4" fillId="21" borderId="4" xfId="0" applyFont="1" applyFill="1" applyBorder="1" applyAlignment="1">
      <alignment horizontal="center" vertical="center" wrapText="1"/>
    </xf>
    <xf numFmtId="0" fontId="1" fillId="2" borderId="11" xfId="0" applyFont="1" applyFill="1" applyBorder="1" applyAlignment="1">
      <alignment vertical="center" wrapText="1"/>
    </xf>
    <xf numFmtId="3" fontId="1" fillId="2" borderId="57" xfId="0" applyNumberFormat="1" applyFont="1" applyFill="1" applyBorder="1" applyAlignment="1">
      <alignment horizontal="center" vertical="center"/>
    </xf>
    <xf numFmtId="3" fontId="1" fillId="6" borderId="57" xfId="0" applyNumberFormat="1" applyFont="1" applyFill="1" applyBorder="1" applyAlignment="1">
      <alignment horizontal="center" vertical="center"/>
    </xf>
    <xf numFmtId="0" fontId="1" fillId="7" borderId="11" xfId="0" applyFont="1" applyFill="1" applyBorder="1" applyAlignment="1">
      <alignment horizontal="left" vertical="center" wrapText="1"/>
    </xf>
    <xf numFmtId="0" fontId="3" fillId="0" borderId="63" xfId="0" applyFont="1" applyBorder="1"/>
    <xf numFmtId="0" fontId="3" fillId="0" borderId="18" xfId="0" applyFont="1" applyBorder="1"/>
    <xf numFmtId="0" fontId="1" fillId="15" borderId="11" xfId="0" applyFont="1" applyFill="1" applyBorder="1" applyAlignment="1">
      <alignment vertical="center" wrapText="1"/>
    </xf>
    <xf numFmtId="0" fontId="1" fillId="15" borderId="4" xfId="0" applyFont="1" applyFill="1" applyBorder="1" applyAlignment="1">
      <alignment vertical="center" wrapText="1"/>
    </xf>
    <xf numFmtId="3" fontId="1" fillId="15" borderId="57" xfId="0" applyNumberFormat="1" applyFont="1" applyFill="1" applyBorder="1" applyAlignment="1">
      <alignment horizontal="center" vertical="center"/>
    </xf>
    <xf numFmtId="0" fontId="1" fillId="15" borderId="11" xfId="0" applyFont="1" applyFill="1" applyBorder="1" applyAlignment="1">
      <alignment horizontal="left" vertical="center" wrapText="1"/>
    </xf>
    <xf numFmtId="0" fontId="1" fillId="15" borderId="11" xfId="0" applyFont="1" applyFill="1" applyBorder="1" applyAlignment="1">
      <alignment horizontal="center" vertical="center"/>
    </xf>
    <xf numFmtId="0" fontId="1" fillId="2" borderId="11" xfId="0" applyFont="1" applyFill="1" applyBorder="1" applyAlignment="1">
      <alignment horizontal="left" vertical="center" wrapText="1"/>
    </xf>
    <xf numFmtId="3" fontId="1" fillId="0" borderId="2" xfId="0" applyNumberFormat="1" applyFont="1" applyBorder="1" applyAlignment="1">
      <alignment vertical="center"/>
    </xf>
    <xf numFmtId="0" fontId="6" fillId="22" borderId="4" xfId="0" applyFont="1" applyFill="1" applyBorder="1" applyAlignment="1">
      <alignment horizontal="center" vertical="center"/>
    </xf>
    <xf numFmtId="0" fontId="4" fillId="22" borderId="4" xfId="0" applyFont="1" applyFill="1" applyBorder="1" applyAlignment="1">
      <alignment horizontal="center" vertical="center"/>
    </xf>
    <xf numFmtId="0" fontId="1" fillId="0" borderId="27" xfId="0" applyFont="1" applyBorder="1" applyAlignment="1">
      <alignment horizontal="center" vertical="center"/>
    </xf>
    <xf numFmtId="0" fontId="4" fillId="22" borderId="4" xfId="0" applyFont="1" applyFill="1" applyBorder="1" applyAlignment="1">
      <alignment horizontal="center" vertical="center" wrapText="1"/>
    </xf>
    <xf numFmtId="3" fontId="1" fillId="6" borderId="11" xfId="0" applyNumberFormat="1" applyFont="1" applyFill="1" applyBorder="1" applyAlignment="1">
      <alignment horizontal="center" vertical="center"/>
    </xf>
    <xf numFmtId="0" fontId="6" fillId="23" borderId="4" xfId="0" applyFont="1" applyFill="1" applyBorder="1" applyAlignment="1">
      <alignment horizontal="center" vertical="center"/>
    </xf>
    <xf numFmtId="0" fontId="14" fillId="0" borderId="2" xfId="0" applyFont="1" applyBorder="1" applyAlignment="1">
      <alignment vertical="center"/>
    </xf>
    <xf numFmtId="0" fontId="14" fillId="0" borderId="2" xfId="0" applyFont="1" applyBorder="1" applyAlignment="1">
      <alignment vertical="center" wrapText="1"/>
    </xf>
    <xf numFmtId="0" fontId="14" fillId="0" borderId="8" xfId="0" applyFont="1" applyBorder="1" applyAlignment="1">
      <alignment vertical="center"/>
    </xf>
    <xf numFmtId="3" fontId="14" fillId="0" borderId="2" xfId="0" applyNumberFormat="1" applyFont="1" applyBorder="1" applyAlignment="1">
      <alignment vertical="center"/>
    </xf>
    <xf numFmtId="0" fontId="14" fillId="0" borderId="20" xfId="0" applyFont="1" applyBorder="1" applyAlignment="1">
      <alignment vertical="center" wrapText="1"/>
    </xf>
    <xf numFmtId="0" fontId="14" fillId="0" borderId="20" xfId="0" applyFont="1" applyBorder="1" applyAlignment="1">
      <alignment vertical="center"/>
    </xf>
    <xf numFmtId="0" fontId="4" fillId="23" borderId="4" xfId="0" applyFont="1" applyFill="1" applyBorder="1" applyAlignment="1">
      <alignment horizontal="center" vertical="center" wrapText="1"/>
    </xf>
    <xf numFmtId="3" fontId="14" fillId="0" borderId="3" xfId="0" applyNumberFormat="1" applyFont="1" applyBorder="1" applyAlignment="1">
      <alignment vertical="center"/>
    </xf>
    <xf numFmtId="3" fontId="1" fillId="4" borderId="4" xfId="0" applyNumberFormat="1" applyFont="1" applyFill="1" applyBorder="1" applyAlignment="1">
      <alignment horizontal="center" vertical="center" wrapText="1"/>
    </xf>
    <xf numFmtId="0" fontId="1" fillId="24" borderId="11" xfId="0" applyFont="1" applyFill="1" applyBorder="1" applyAlignment="1">
      <alignment horizontal="center" vertical="center" wrapText="1"/>
    </xf>
    <xf numFmtId="0" fontId="14" fillId="0" borderId="12" xfId="0" applyFont="1" applyBorder="1" applyAlignment="1">
      <alignment vertical="center"/>
    </xf>
    <xf numFmtId="0" fontId="14" fillId="0" borderId="27" xfId="0" applyFont="1" applyBorder="1" applyAlignment="1">
      <alignment vertical="center"/>
    </xf>
    <xf numFmtId="0" fontId="14" fillId="0" borderId="13" xfId="0" applyFont="1" applyBorder="1" applyAlignment="1">
      <alignment vertical="center" wrapText="1"/>
    </xf>
    <xf numFmtId="0" fontId="14" fillId="0" borderId="13" xfId="0" applyFont="1" applyBorder="1" applyAlignment="1">
      <alignment vertical="center"/>
    </xf>
    <xf numFmtId="3" fontId="1" fillId="7" borderId="11" xfId="0" applyNumberFormat="1" applyFont="1" applyFill="1" applyBorder="1" applyAlignment="1">
      <alignment horizontal="center" vertical="center" wrapText="1"/>
    </xf>
    <xf numFmtId="164" fontId="1" fillId="7" borderId="11" xfId="0" applyNumberFormat="1" applyFont="1" applyFill="1" applyBorder="1" applyAlignment="1">
      <alignment horizontal="center" vertical="center"/>
    </xf>
    <xf numFmtId="0" fontId="1" fillId="0" borderId="11" xfId="0" applyFont="1" applyBorder="1" applyAlignment="1">
      <alignment vertical="center" wrapText="1"/>
    </xf>
    <xf numFmtId="3" fontId="1" fillId="0" borderId="11" xfId="0" applyNumberFormat="1" applyFont="1" applyBorder="1" applyAlignment="1">
      <alignment horizontal="center" vertical="center"/>
    </xf>
    <xf numFmtId="3" fontId="1" fillId="0" borderId="20" xfId="0" applyNumberFormat="1" applyFont="1" applyBorder="1" applyAlignment="1">
      <alignment vertical="center"/>
    </xf>
    <xf numFmtId="0" fontId="2" fillId="25" borderId="4" xfId="0" applyFont="1" applyFill="1" applyBorder="1" applyAlignment="1">
      <alignment horizontal="center" vertical="center"/>
    </xf>
    <xf numFmtId="0" fontId="1" fillId="7" borderId="4" xfId="0" applyFont="1" applyFill="1" applyBorder="1" applyAlignment="1">
      <alignment horizontal="center" vertical="center"/>
    </xf>
    <xf numFmtId="3" fontId="2" fillId="22" borderId="53" xfId="0" applyNumberFormat="1" applyFont="1" applyFill="1" applyBorder="1" applyAlignment="1">
      <alignment horizontal="center" vertical="center"/>
    </xf>
    <xf numFmtId="0" fontId="1" fillId="0" borderId="29" xfId="0" applyFont="1" applyBorder="1" applyAlignment="1">
      <alignment vertical="center"/>
    </xf>
    <xf numFmtId="0" fontId="1" fillId="0" borderId="54" xfId="0" applyFont="1" applyBorder="1" applyAlignment="1">
      <alignment horizontal="center" vertical="center"/>
    </xf>
    <xf numFmtId="0" fontId="6" fillId="22" borderId="4" xfId="0" applyFont="1" applyFill="1" applyBorder="1" applyAlignment="1">
      <alignment horizontal="center" vertical="center" wrapText="1"/>
    </xf>
    <xf numFmtId="0" fontId="6" fillId="22" borderId="56" xfId="0" applyFont="1" applyFill="1" applyBorder="1" applyAlignment="1">
      <alignment horizontal="center" vertical="center" wrapText="1"/>
    </xf>
    <xf numFmtId="0" fontId="5" fillId="26" borderId="19" xfId="0" applyFont="1" applyFill="1" applyBorder="1" applyAlignment="1">
      <alignment vertical="center" wrapText="1"/>
    </xf>
    <xf numFmtId="0" fontId="2" fillId="22" borderId="4" xfId="0" applyFont="1" applyFill="1" applyBorder="1" applyAlignment="1">
      <alignment horizontal="left" vertical="center"/>
    </xf>
    <xf numFmtId="0" fontId="2" fillId="22" borderId="5" xfId="0" applyFont="1" applyFill="1" applyBorder="1" applyAlignment="1">
      <alignment horizontal="left" vertical="center" wrapText="1"/>
    </xf>
    <xf numFmtId="0" fontId="2" fillId="22" borderId="64" xfId="0" applyFont="1" applyFill="1" applyBorder="1" applyAlignment="1">
      <alignment horizontal="left" vertical="center"/>
    </xf>
    <xf numFmtId="0" fontId="1" fillId="22" borderId="65" xfId="0" applyFont="1" applyFill="1" applyBorder="1" applyAlignment="1">
      <alignment vertical="center"/>
    </xf>
    <xf numFmtId="0" fontId="1" fillId="22" borderId="65" xfId="0" applyFont="1" applyFill="1" applyBorder="1" applyAlignment="1">
      <alignment horizontal="center" vertical="center"/>
    </xf>
    <xf numFmtId="0" fontId="1" fillId="22" borderId="65" xfId="0" applyFont="1" applyFill="1" applyBorder="1" applyAlignment="1">
      <alignment vertical="center" wrapText="1"/>
    </xf>
    <xf numFmtId="3" fontId="1" fillId="22" borderId="65" xfId="0" applyNumberFormat="1" applyFont="1" applyFill="1" applyBorder="1" applyAlignment="1">
      <alignment vertical="center"/>
    </xf>
    <xf numFmtId="3" fontId="1" fillId="22" borderId="65" xfId="0" applyNumberFormat="1" applyFont="1" applyFill="1" applyBorder="1" applyAlignment="1">
      <alignment vertical="center" wrapText="1"/>
    </xf>
    <xf numFmtId="0" fontId="1" fillId="22" borderId="66" xfId="0" applyFont="1" applyFill="1" applyBorder="1" applyAlignment="1">
      <alignment horizontal="center" vertical="center"/>
    </xf>
    <xf numFmtId="3" fontId="1" fillId="0" borderId="20" xfId="0" applyNumberFormat="1" applyFont="1" applyBorder="1" applyAlignment="1">
      <alignment horizontal="center" vertical="center"/>
    </xf>
    <xf numFmtId="0" fontId="2" fillId="27" borderId="4"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28" borderId="14" xfId="0" applyFont="1" applyFill="1" applyBorder="1" applyAlignment="1">
      <alignment horizontal="center" vertical="center" wrapText="1"/>
    </xf>
    <xf numFmtId="3" fontId="7" fillId="7" borderId="57" xfId="0" applyNumberFormat="1" applyFont="1" applyFill="1" applyBorder="1" applyAlignment="1">
      <alignment horizontal="center" vertical="center" wrapText="1"/>
    </xf>
    <xf numFmtId="0" fontId="6" fillId="28" borderId="34" xfId="0" applyFont="1" applyFill="1" applyBorder="1" applyAlignment="1">
      <alignment horizontal="center" vertical="center" wrapText="1"/>
    </xf>
    <xf numFmtId="3" fontId="8" fillId="7" borderId="67" xfId="0" applyNumberFormat="1" applyFont="1" applyFill="1" applyBorder="1" applyAlignment="1">
      <alignment horizontal="center" vertical="center" wrapText="1"/>
    </xf>
    <xf numFmtId="0" fontId="2" fillId="28" borderId="68" xfId="0" applyFont="1" applyFill="1" applyBorder="1" applyAlignment="1">
      <alignment horizontal="center" vertical="center" wrapText="1"/>
    </xf>
    <xf numFmtId="165" fontId="15" fillId="7" borderId="38" xfId="0" applyNumberFormat="1" applyFont="1" applyFill="1" applyBorder="1" applyAlignment="1">
      <alignment horizontal="center" vertical="center" wrapText="1"/>
    </xf>
    <xf numFmtId="0" fontId="1" fillId="0" borderId="12" xfId="0" applyFont="1" applyBorder="1" applyAlignment="1">
      <alignment horizontal="center" vertical="center" wrapText="1"/>
    </xf>
    <xf numFmtId="3" fontId="8" fillId="7" borderId="38"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69" xfId="0" applyFont="1" applyBorder="1"/>
    <xf numFmtId="0" fontId="6" fillId="28" borderId="43" xfId="0" applyFont="1" applyFill="1" applyBorder="1" applyAlignment="1">
      <alignment horizontal="center" vertical="center" wrapText="1"/>
    </xf>
    <xf numFmtId="3" fontId="8" fillId="7" borderId="70" xfId="0" applyNumberFormat="1" applyFont="1" applyFill="1" applyBorder="1" applyAlignment="1">
      <alignment horizontal="center" vertical="center" wrapText="1"/>
    </xf>
    <xf numFmtId="0" fontId="3" fillId="0" borderId="62" xfId="0" applyFont="1" applyBorder="1"/>
    <xf numFmtId="0" fontId="5" fillId="29" borderId="14" xfId="0" applyFont="1" applyFill="1" applyBorder="1" applyAlignment="1">
      <alignment horizontal="center" vertical="center"/>
    </xf>
    <xf numFmtId="0" fontId="1" fillId="15" borderId="19" xfId="0" applyFont="1" applyFill="1" applyBorder="1" applyAlignment="1">
      <alignment vertical="center"/>
    </xf>
    <xf numFmtId="0" fontId="5" fillId="0" borderId="11" xfId="0" applyFont="1" applyBorder="1" applyAlignment="1">
      <alignment horizontal="right" vertical="center"/>
    </xf>
    <xf numFmtId="1" fontId="5" fillId="0" borderId="49" xfId="0" applyNumberFormat="1" applyFont="1" applyBorder="1" applyAlignment="1">
      <alignment vertical="center"/>
    </xf>
    <xf numFmtId="0" fontId="5" fillId="26" borderId="11" xfId="0" applyFont="1" applyFill="1" applyBorder="1" applyAlignment="1">
      <alignment horizontal="left" vertical="center" wrapText="1"/>
    </xf>
    <xf numFmtId="3" fontId="16" fillId="7" borderId="11" xfId="0" applyNumberFormat="1"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116">
    <dxf>
      <fill>
        <patternFill patternType="solid">
          <fgColor rgb="FFF4CCCC"/>
          <bgColor rgb="FFF4CCCC"/>
        </patternFill>
      </fill>
    </dxf>
    <dxf>
      <fill>
        <patternFill patternType="solid">
          <fgColor rgb="FFD9EAD3"/>
          <bgColor rgb="FFD9EAD3"/>
        </patternFill>
      </fill>
    </dxf>
    <dxf>
      <fill>
        <patternFill patternType="solid">
          <fgColor rgb="FFFFE599"/>
          <bgColor rgb="FFFFE599"/>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D9D9D9"/>
          <bgColor rgb="FFD9D9D9"/>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EA9999"/>
          <bgColor rgb="FFEA9999"/>
        </patternFill>
      </fill>
    </dxf>
    <dxf>
      <fill>
        <patternFill patternType="solid">
          <fgColor rgb="FFA4C2F4"/>
          <bgColor rgb="FFA4C2F4"/>
        </patternFill>
      </fill>
    </dxf>
    <dxf>
      <fill>
        <patternFill patternType="solid">
          <fgColor rgb="FF6AA84F"/>
          <bgColor rgb="FF6AA84F"/>
        </patternFill>
      </fill>
    </dxf>
    <dxf>
      <fill>
        <patternFill patternType="solid">
          <fgColor rgb="FFF4CCCC"/>
          <bgColor rgb="FFF4CCCC"/>
        </patternFill>
      </fill>
    </dxf>
    <dxf>
      <fill>
        <patternFill patternType="solid">
          <fgColor rgb="FFE06666"/>
          <bgColor rgb="FFE06666"/>
        </patternFill>
      </fill>
    </dxf>
    <dxf>
      <fill>
        <patternFill patternType="solid">
          <fgColor rgb="FF990000"/>
          <bgColor rgb="FF990000"/>
        </patternFill>
      </fill>
    </dxf>
    <dxf>
      <fill>
        <patternFill patternType="solid">
          <fgColor rgb="FFE06666"/>
          <bgColor rgb="FFE06666"/>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D9D9D9"/>
          <bgColor rgb="FFD9D9D9"/>
        </patternFill>
      </fill>
    </dxf>
    <dxf>
      <fill>
        <patternFill patternType="solid">
          <fgColor rgb="FFEA9999"/>
          <bgColor rgb="FFEA9999"/>
        </patternFill>
      </fill>
    </dxf>
    <dxf>
      <fill>
        <patternFill patternType="solid">
          <fgColor rgb="FFA4C2F4"/>
          <bgColor rgb="FFA4C2F4"/>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FCE5CD"/>
          <bgColor rgb="FFFCE5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EA9999"/>
          <bgColor rgb="FFEA9999"/>
        </patternFill>
      </fill>
    </dxf>
    <dxf>
      <fill>
        <patternFill patternType="solid">
          <fgColor rgb="FFCFE2F3"/>
          <bgColor rgb="FFCFE2F3"/>
        </patternFill>
      </fill>
    </dxf>
    <dxf>
      <fill>
        <patternFill patternType="solid">
          <fgColor rgb="FFD9D9D9"/>
          <bgColor rgb="FFD9D9D9"/>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EA9999"/>
          <bgColor rgb="FFEA9999"/>
        </patternFill>
      </fill>
    </dxf>
    <dxf>
      <fill>
        <patternFill patternType="solid">
          <fgColor rgb="FFA4C2F4"/>
          <bgColor rgb="FFA4C2F4"/>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D9EAD3"/>
          <bgColor rgb="FFD9EAD3"/>
        </patternFill>
      </fill>
    </dxf>
    <dxf>
      <fill>
        <patternFill patternType="solid">
          <fgColor rgb="FFFFE599"/>
          <bgColor rgb="FFFFE599"/>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D9D9D9"/>
          <bgColor rgb="FFD9D9D9"/>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EA9999"/>
          <bgColor rgb="FFEA9999"/>
        </patternFill>
      </fill>
    </dxf>
    <dxf>
      <fill>
        <patternFill patternType="solid">
          <fgColor rgb="FFA4C2F4"/>
          <bgColor rgb="FFA4C2F4"/>
        </patternFill>
      </fill>
    </dxf>
    <dxf>
      <fill>
        <patternFill patternType="solid">
          <fgColor rgb="FFCFE2F3"/>
          <bgColor rgb="FFCFE2F3"/>
        </patternFill>
      </fill>
    </dxf>
    <dxf>
      <fill>
        <patternFill patternType="solid">
          <fgColor rgb="FFD9D9D9"/>
          <bgColor rgb="FFD9D9D9"/>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EA9999"/>
          <bgColor rgb="FFEA9999"/>
        </patternFill>
      </fill>
    </dxf>
    <dxf>
      <fill>
        <patternFill patternType="solid">
          <fgColor rgb="FFA4C2F4"/>
          <bgColor rgb="FFA4C2F4"/>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D9EAD3"/>
          <bgColor rgb="FFD9EAD3"/>
        </patternFill>
      </fill>
    </dxf>
    <dxf>
      <fill>
        <patternFill patternType="solid">
          <fgColor rgb="FFD0E0E3"/>
          <bgColor rgb="FFD0E0E3"/>
        </patternFill>
      </fill>
    </dxf>
    <dxf>
      <fill>
        <patternFill patternType="solid">
          <fgColor rgb="FFF4CCCC"/>
          <bgColor rgb="FFF4CCCC"/>
        </patternFill>
      </fill>
    </dxf>
    <dxf>
      <fill>
        <patternFill patternType="solid">
          <fgColor rgb="FFE06666"/>
          <bgColor rgb="FFE06666"/>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CE5CD"/>
          <bgColor rgb="FFFCE5CD"/>
        </patternFill>
      </fill>
    </dxf>
    <dxf>
      <fill>
        <patternFill patternType="solid">
          <fgColor rgb="FFD9D9D9"/>
          <bgColor rgb="FFD9D9D9"/>
        </patternFill>
      </fill>
    </dxf>
    <dxf>
      <fill>
        <patternFill patternType="solid">
          <fgColor rgb="FFEA9999"/>
          <bgColor rgb="FFEA9999"/>
        </patternFill>
      </fill>
    </dxf>
    <dxf>
      <fill>
        <patternFill patternType="solid">
          <fgColor rgb="FFA4C2F4"/>
          <bgColor rgb="FFA4C2F4"/>
        </patternFill>
      </fill>
    </dxf>
    <dxf>
      <fill>
        <patternFill patternType="solid">
          <fgColor rgb="FFEA9999"/>
          <bgColor rgb="FFEA9999"/>
        </patternFill>
      </fill>
    </dxf>
    <dxf>
      <fill>
        <patternFill patternType="solid">
          <fgColor rgb="FFC9DAF8"/>
          <bgColor rgb="FFC9DAF8"/>
        </patternFill>
      </fill>
    </dxf>
    <dxf>
      <fill>
        <patternFill patternType="solid">
          <fgColor rgb="FFEA9999"/>
          <bgColor rgb="FFEA9999"/>
        </patternFill>
      </fill>
    </dxf>
    <dxf>
      <fill>
        <patternFill patternType="solid">
          <fgColor rgb="FFF4CCCC"/>
          <bgColor rgb="FFF4CCCC"/>
        </patternFill>
      </fill>
    </dxf>
    <dxf>
      <fill>
        <patternFill patternType="solid">
          <fgColor rgb="FFFCE5CD"/>
          <bgColor rgb="FFFCE5CD"/>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00FF"/>
    <outlinePr summaryBelow="0" summaryRight="0"/>
  </sheetPr>
  <dimension ref="A1:T86"/>
  <sheetViews>
    <sheetView workbookViewId="0" zoomScale="100" zoomScaleNormal="100">
      <pane ySplit="2" topLeftCell="A3" activePane="bottomLeft" state="frozen"/>
      <selection pane="bottomLeft" activeCell="C8" sqref="C8"/>
    </sheetView>
  </sheetViews>
  <sheetFormatPr defaultRowHeight="15" outlineLevelRow="0" outlineLevelCol="0" x14ac:dyDescent="0.3" defaultColWidth="14.3984375"/>
  <cols>
    <col min="1" max="1" width="2.59765625" customWidth="1"/>
    <col min="2" max="2" width="3.69921875" customWidth="1"/>
    <col min="3" max="3" width="21.296875" customWidth="1"/>
    <col min="4" max="4" width="11.09765625" customWidth="1"/>
    <col min="5" max="5" width="9.3984375" customWidth="1"/>
    <col min="6" max="6" width="9.296875" customWidth="1"/>
    <col min="7" max="7" width="18" customWidth="1"/>
    <col min="8" max="8" width="9.296875" customWidth="1"/>
    <col min="9" max="9" width="6.8984375" customWidth="1"/>
    <col min="10" max="10" width="14" customWidth="1"/>
    <col min="11" max="11" width="9.296875" customWidth="1"/>
    <col min="12" max="12" width="20.09765625" customWidth="1"/>
    <col min="13" max="13" width="11.59765625" customWidth="1"/>
    <col min="14" max="14" width="9.296875" customWidth="1"/>
    <col min="15" max="15" width="16.3984375" customWidth="1"/>
    <col min="16" max="16" width="6" customWidth="1"/>
    <col min="17" max="18" width="9.3984375" customWidth="1"/>
    <col min="19" max="19" width="12.69921875" customWidth="1"/>
    <col min="20" max="20" width="2.59765625" customWidth="1"/>
  </cols>
  <sheetData>
    <row r="1" ht="15" customHeight="1" spans="1:20" x14ac:dyDescent="0.25">
      <c r="A1" s="1"/>
      <c r="B1" s="2"/>
      <c r="C1" s="3"/>
      <c r="D1" s="4"/>
      <c r="E1" s="3"/>
      <c r="F1" s="2"/>
      <c r="G1" s="2"/>
      <c r="H1" s="4"/>
      <c r="I1" s="4"/>
      <c r="J1" s="5"/>
      <c r="K1" s="4"/>
      <c r="L1" s="3"/>
      <c r="M1" s="4"/>
      <c r="N1" s="2"/>
      <c r="O1" s="3"/>
      <c r="P1" s="2"/>
      <c r="Q1" s="6"/>
      <c r="R1" s="6"/>
      <c r="S1" s="3"/>
      <c r="T1" s="1"/>
    </row>
    <row r="2" ht="15" customHeight="1" spans="1:20" x14ac:dyDescent="0.25">
      <c r="A2" s="7"/>
      <c r="B2" s="8" t="s">
        <v>0</v>
      </c>
      <c r="C2" s="9"/>
      <c r="D2" s="9"/>
      <c r="E2" s="9"/>
      <c r="F2" s="9"/>
      <c r="G2" s="9"/>
      <c r="H2" s="9"/>
      <c r="I2" s="9"/>
      <c r="J2" s="9"/>
      <c r="K2" s="9"/>
      <c r="L2" s="9"/>
      <c r="M2" s="9"/>
      <c r="N2" s="9"/>
      <c r="O2" s="9"/>
      <c r="P2" s="9"/>
      <c r="Q2" s="9"/>
      <c r="R2" s="9"/>
      <c r="S2" s="10"/>
      <c r="T2" s="11"/>
    </row>
    <row r="3" ht="15" customHeight="1" spans="1:20" x14ac:dyDescent="0.25">
      <c r="A3" s="7"/>
      <c r="B3" s="12"/>
      <c r="C3" s="3"/>
      <c r="D3" s="2"/>
      <c r="E3" s="3"/>
      <c r="F3" s="2"/>
      <c r="G3" s="2"/>
      <c r="H3" s="2"/>
      <c r="I3" s="2"/>
      <c r="J3" s="3"/>
      <c r="K3" s="5"/>
      <c r="L3" s="3"/>
      <c r="M3" s="4"/>
      <c r="N3" s="2"/>
      <c r="O3" s="13"/>
      <c r="P3" s="14"/>
      <c r="Q3" s="15"/>
      <c r="R3" s="15"/>
      <c r="S3" s="16"/>
      <c r="T3" s="1"/>
    </row>
    <row r="4" ht="15" customHeight="1" spans="1:20" x14ac:dyDescent="0.25">
      <c r="A4" s="7"/>
      <c r="B4" s="17" t="s">
        <v>1</v>
      </c>
      <c r="C4" s="9"/>
      <c r="D4" s="9"/>
      <c r="E4" s="18" t="s">
        <v>2</v>
      </c>
      <c r="F4" s="19" t="s">
        <v>3</v>
      </c>
      <c r="G4" s="18" t="s">
        <v>4</v>
      </c>
      <c r="H4" s="19">
        <f>SUM(K8:K35)</f>
        <v>0</v>
      </c>
      <c r="I4" s="20"/>
      <c r="J4" s="20"/>
      <c r="K4" s="21" t="s">
        <v>5</v>
      </c>
      <c r="L4" s="9"/>
      <c r="M4" s="22" t="str">
        <f>IF(F4&lt;&gt;H4,"Revisar","Correcto")</f>
        <v>Revisar</v>
      </c>
      <c r="N4" s="23"/>
      <c r="O4" s="21" t="s">
        <v>6</v>
      </c>
      <c r="P4" s="9"/>
      <c r="Q4" s="9"/>
      <c r="R4" s="19">
        <f>SUM(N8:N35)</f>
        <v>0</v>
      </c>
      <c r="S4" s="24"/>
      <c r="T4" s="1"/>
    </row>
    <row r="5" ht="15" customHeight="1" spans="1:20" x14ac:dyDescent="0.25">
      <c r="A5" s="1"/>
      <c r="B5" s="2"/>
      <c r="C5" s="3"/>
      <c r="D5" s="2"/>
      <c r="E5" s="3"/>
      <c r="F5" s="2"/>
      <c r="G5" s="2"/>
      <c r="H5" s="2"/>
      <c r="I5" s="2"/>
      <c r="J5" s="3"/>
      <c r="K5" s="5"/>
      <c r="L5" s="3"/>
      <c r="M5" s="4"/>
      <c r="N5" s="2"/>
      <c r="O5" s="3"/>
      <c r="P5" s="5"/>
      <c r="Q5" s="2"/>
      <c r="R5" s="2"/>
      <c r="S5" s="25"/>
      <c r="T5" s="1"/>
    </row>
    <row r="6" ht="15" customHeight="1" spans="1:20" x14ac:dyDescent="0.25">
      <c r="A6" s="7"/>
      <c r="B6" s="26" t="s">
        <v>7</v>
      </c>
      <c r="C6" s="27"/>
      <c r="D6" s="28"/>
      <c r="E6" s="29" t="s">
        <v>8</v>
      </c>
      <c r="F6" s="27"/>
      <c r="G6" s="27"/>
      <c r="H6" s="27"/>
      <c r="I6" s="27"/>
      <c r="J6" s="27"/>
      <c r="K6" s="27"/>
      <c r="L6" s="28"/>
      <c r="M6" s="30" t="s">
        <v>9</v>
      </c>
      <c r="N6" s="9"/>
      <c r="O6" s="9"/>
      <c r="P6" s="9"/>
      <c r="Q6" s="9"/>
      <c r="R6" s="9"/>
      <c r="S6" s="10"/>
      <c r="T6" s="1"/>
    </row>
    <row r="7" ht="15" customHeight="1" spans="1:20" x14ac:dyDescent="0.25">
      <c r="A7" s="7"/>
      <c r="B7" s="31" t="s">
        <v>10</v>
      </c>
      <c r="C7" s="31" t="s">
        <v>11</v>
      </c>
      <c r="D7" s="31" t="s">
        <v>12</v>
      </c>
      <c r="E7" s="32" t="s">
        <v>13</v>
      </c>
      <c r="F7" s="10"/>
      <c r="G7" s="31" t="s">
        <v>14</v>
      </c>
      <c r="H7" s="31" t="s">
        <v>15</v>
      </c>
      <c r="I7" s="31" t="s">
        <v>16</v>
      </c>
      <c r="J7" s="31" t="s">
        <v>17</v>
      </c>
      <c r="K7" s="31" t="s">
        <v>18</v>
      </c>
      <c r="L7" s="31" t="s">
        <v>19</v>
      </c>
      <c r="M7" s="33" t="s">
        <v>20</v>
      </c>
      <c r="N7" s="34" t="s">
        <v>21</v>
      </c>
      <c r="O7" s="34" t="s">
        <v>22</v>
      </c>
      <c r="P7" s="35" t="s">
        <v>23</v>
      </c>
      <c r="Q7" s="33" t="s">
        <v>24</v>
      </c>
      <c r="R7" s="33" t="s">
        <v>25</v>
      </c>
      <c r="S7" s="34" t="s">
        <v>26</v>
      </c>
      <c r="T7" s="1"/>
    </row>
    <row r="8" ht="15" customHeight="1" spans="1:20" x14ac:dyDescent="0.25">
      <c r="A8" s="7"/>
      <c r="B8" s="36">
        <v>1</v>
      </c>
      <c r="C8" s="37"/>
      <c r="D8" s="36"/>
      <c r="E8" s="38" t="s">
        <v>27</v>
      </c>
      <c r="F8" s="10"/>
      <c r="G8" s="39"/>
      <c r="H8" s="36"/>
      <c r="I8" s="36"/>
      <c r="J8" s="40"/>
      <c r="K8" s="36"/>
      <c r="L8" s="41"/>
      <c r="M8" s="18" t="s">
        <v>28</v>
      </c>
      <c r="N8" s="42"/>
      <c r="O8" s="43"/>
      <c r="P8" s="42"/>
      <c r="Q8" s="44"/>
      <c r="R8" s="44"/>
      <c r="S8" s="45"/>
      <c r="T8" s="1"/>
    </row>
    <row r="9" ht="15" customHeight="1" spans="1:20" x14ac:dyDescent="0.25">
      <c r="A9" s="1"/>
      <c r="B9" s="36">
        <f t="shared" ref="B9:B35" si="0">B8+1</f>
        <v>2</v>
      </c>
      <c r="C9" s="37"/>
      <c r="D9" s="36"/>
      <c r="E9" s="38" t="s">
        <v>27</v>
      </c>
      <c r="F9" s="10"/>
      <c r="G9" s="39"/>
      <c r="H9" s="36"/>
      <c r="I9" s="36"/>
      <c r="J9" s="40"/>
      <c r="K9" s="36"/>
      <c r="L9" s="41"/>
      <c r="M9" s="18" t="s">
        <v>28</v>
      </c>
      <c r="N9" s="42"/>
      <c r="O9" s="43"/>
      <c r="P9" s="42"/>
      <c r="Q9" s="44"/>
      <c r="R9" s="44"/>
      <c r="S9" s="18"/>
      <c r="T9" s="1"/>
    </row>
    <row r="10" ht="15" customHeight="1" spans="1:20" x14ac:dyDescent="0.25">
      <c r="A10" s="7"/>
      <c r="B10" s="36">
        <f t="shared" si="0"/>
        <v>3</v>
      </c>
      <c r="C10" s="37"/>
      <c r="D10" s="36"/>
      <c r="E10" s="38" t="s">
        <v>27</v>
      </c>
      <c r="F10" s="10"/>
      <c r="G10" s="39"/>
      <c r="H10" s="36"/>
      <c r="I10" s="36"/>
      <c r="J10" s="40"/>
      <c r="K10" s="36"/>
      <c r="L10" s="41"/>
      <c r="M10" s="18" t="s">
        <v>28</v>
      </c>
      <c r="N10" s="42"/>
      <c r="O10" s="43"/>
      <c r="P10" s="42"/>
      <c r="Q10" s="44"/>
      <c r="R10" s="44"/>
      <c r="S10" s="45"/>
      <c r="T10" s="1"/>
    </row>
    <row r="11" ht="15" customHeight="1" spans="1:20" x14ac:dyDescent="0.25">
      <c r="A11" s="7"/>
      <c r="B11" s="36">
        <f t="shared" si="0"/>
        <v>4</v>
      </c>
      <c r="C11" s="37"/>
      <c r="D11" s="36"/>
      <c r="E11" s="38" t="s">
        <v>27</v>
      </c>
      <c r="F11" s="10"/>
      <c r="G11" s="39"/>
      <c r="H11" s="46"/>
      <c r="I11" s="36"/>
      <c r="J11" s="40"/>
      <c r="K11" s="36"/>
      <c r="L11" s="41"/>
      <c r="M11" s="18" t="s">
        <v>28</v>
      </c>
      <c r="N11" s="42"/>
      <c r="O11" s="43"/>
      <c r="P11" s="42"/>
      <c r="Q11" s="44"/>
      <c r="R11" s="44"/>
      <c r="S11" s="18"/>
      <c r="T11" s="1"/>
    </row>
    <row r="12" ht="15" customHeight="1" spans="1:20" x14ac:dyDescent="0.25">
      <c r="A12" s="7"/>
      <c r="B12" s="36">
        <f t="shared" si="0"/>
        <v>5</v>
      </c>
      <c r="C12" s="37"/>
      <c r="D12" s="36"/>
      <c r="E12" s="38" t="s">
        <v>27</v>
      </c>
      <c r="F12" s="10"/>
      <c r="G12" s="39"/>
      <c r="H12" s="36"/>
      <c r="I12" s="36"/>
      <c r="J12" s="40"/>
      <c r="K12" s="36"/>
      <c r="L12" s="47"/>
      <c r="M12" s="18" t="s">
        <v>28</v>
      </c>
      <c r="N12" s="42"/>
      <c r="O12" s="43"/>
      <c r="P12" s="42"/>
      <c r="Q12" s="44"/>
      <c r="R12" s="44"/>
      <c r="S12" s="45"/>
      <c r="T12" s="1"/>
    </row>
    <row r="13" ht="15" customHeight="1" spans="1:20" x14ac:dyDescent="0.25">
      <c r="A13" s="7"/>
      <c r="B13" s="36">
        <f t="shared" si="0"/>
        <v>6</v>
      </c>
      <c r="C13" s="37"/>
      <c r="D13" s="36"/>
      <c r="E13" s="38" t="s">
        <v>27</v>
      </c>
      <c r="F13" s="10"/>
      <c r="G13" s="39"/>
      <c r="H13" s="36"/>
      <c r="I13" s="36"/>
      <c r="J13" s="40"/>
      <c r="K13" s="36"/>
      <c r="L13" s="47"/>
      <c r="M13" s="18" t="s">
        <v>28</v>
      </c>
      <c r="N13" s="42"/>
      <c r="O13" s="43"/>
      <c r="P13" s="42"/>
      <c r="Q13" s="44"/>
      <c r="R13" s="44"/>
      <c r="S13" s="18"/>
      <c r="T13" s="1"/>
    </row>
    <row r="14" ht="15" customHeight="1" spans="1:20" x14ac:dyDescent="0.25">
      <c r="A14" s="7"/>
      <c r="B14" s="36">
        <f t="shared" si="0"/>
        <v>7</v>
      </c>
      <c r="C14" s="37"/>
      <c r="D14" s="36"/>
      <c r="E14" s="38" t="s">
        <v>27</v>
      </c>
      <c r="F14" s="10"/>
      <c r="G14" s="39"/>
      <c r="H14" s="46"/>
      <c r="I14" s="36"/>
      <c r="J14" s="40"/>
      <c r="K14" s="36"/>
      <c r="L14" s="41"/>
      <c r="M14" s="18" t="s">
        <v>28</v>
      </c>
      <c r="N14" s="42"/>
      <c r="O14" s="43"/>
      <c r="P14" s="42"/>
      <c r="Q14" s="44"/>
      <c r="R14" s="44"/>
      <c r="S14" s="45"/>
      <c r="T14" s="1"/>
    </row>
    <row r="15" ht="15" customHeight="1" spans="1:20" x14ac:dyDescent="0.25">
      <c r="A15" s="48"/>
      <c r="B15" s="36">
        <f t="shared" si="0"/>
        <v>8</v>
      </c>
      <c r="C15" s="37"/>
      <c r="D15" s="36"/>
      <c r="E15" s="38" t="s">
        <v>27</v>
      </c>
      <c r="F15" s="10"/>
      <c r="G15" s="39"/>
      <c r="H15" s="49"/>
      <c r="I15" s="49"/>
      <c r="J15" s="40"/>
      <c r="K15" s="49"/>
      <c r="L15" s="50"/>
      <c r="M15" s="18" t="s">
        <v>28</v>
      </c>
      <c r="N15" s="42"/>
      <c r="O15" s="43"/>
      <c r="P15" s="42"/>
      <c r="Q15" s="44"/>
      <c r="R15" s="44"/>
      <c r="S15" s="18"/>
      <c r="T15" s="1"/>
    </row>
    <row r="16" ht="15" customHeight="1" spans="1:20" x14ac:dyDescent="0.25">
      <c r="A16" s="7"/>
      <c r="B16" s="36">
        <f t="shared" si="0"/>
        <v>9</v>
      </c>
      <c r="C16" s="37"/>
      <c r="D16" s="36"/>
      <c r="E16" s="38" t="s">
        <v>27</v>
      </c>
      <c r="F16" s="10"/>
      <c r="G16" s="39"/>
      <c r="H16" s="49"/>
      <c r="I16" s="49"/>
      <c r="J16" s="40"/>
      <c r="K16" s="49"/>
      <c r="L16" s="50"/>
      <c r="M16" s="18" t="s">
        <v>28</v>
      </c>
      <c r="N16" s="42"/>
      <c r="O16" s="43"/>
      <c r="P16" s="42"/>
      <c r="Q16" s="44"/>
      <c r="R16" s="44"/>
      <c r="S16" s="45"/>
      <c r="T16" s="1"/>
    </row>
    <row r="17" ht="15" customHeight="1" spans="1:20" x14ac:dyDescent="0.25">
      <c r="A17" s="7"/>
      <c r="B17" s="36">
        <f t="shared" si="0"/>
        <v>10</v>
      </c>
      <c r="C17" s="37"/>
      <c r="D17" s="36"/>
      <c r="E17" s="38" t="s">
        <v>27</v>
      </c>
      <c r="F17" s="10"/>
      <c r="G17" s="39"/>
      <c r="H17" s="49"/>
      <c r="I17" s="49"/>
      <c r="J17" s="40"/>
      <c r="K17" s="49"/>
      <c r="L17" s="50"/>
      <c r="M17" s="18" t="s">
        <v>28</v>
      </c>
      <c r="N17" s="42"/>
      <c r="O17" s="43"/>
      <c r="P17" s="42"/>
      <c r="Q17" s="44"/>
      <c r="R17" s="44"/>
      <c r="S17" s="18"/>
      <c r="T17" s="1"/>
    </row>
    <row r="18" ht="15" customHeight="1" spans="1:20" x14ac:dyDescent="0.25">
      <c r="A18" s="7"/>
      <c r="B18" s="36">
        <f t="shared" si="0"/>
        <v>11</v>
      </c>
      <c r="C18" s="37"/>
      <c r="D18" s="36"/>
      <c r="E18" s="38" t="s">
        <v>27</v>
      </c>
      <c r="F18" s="10"/>
      <c r="G18" s="39"/>
      <c r="H18" s="49"/>
      <c r="I18" s="49"/>
      <c r="J18" s="40"/>
      <c r="K18" s="49"/>
      <c r="L18" s="41"/>
      <c r="M18" s="18" t="s">
        <v>28</v>
      </c>
      <c r="N18" s="42"/>
      <c r="O18" s="43"/>
      <c r="P18" s="42"/>
      <c r="Q18" s="44"/>
      <c r="R18" s="44"/>
      <c r="S18" s="45"/>
      <c r="T18" s="1"/>
    </row>
    <row r="19" ht="15" customHeight="1" spans="1:20" x14ac:dyDescent="0.25">
      <c r="A19" s="7"/>
      <c r="B19" s="36">
        <f t="shared" si="0"/>
        <v>12</v>
      </c>
      <c r="C19" s="37"/>
      <c r="D19" s="36"/>
      <c r="E19" s="38" t="s">
        <v>27</v>
      </c>
      <c r="F19" s="10"/>
      <c r="G19" s="39"/>
      <c r="H19" s="36"/>
      <c r="I19" s="36"/>
      <c r="J19" s="40"/>
      <c r="K19" s="36"/>
      <c r="L19" s="41"/>
      <c r="M19" s="18" t="s">
        <v>28</v>
      </c>
      <c r="N19" s="42"/>
      <c r="O19" s="43"/>
      <c r="P19" s="42"/>
      <c r="Q19" s="44"/>
      <c r="R19" s="44"/>
      <c r="S19" s="18"/>
      <c r="T19" s="1"/>
    </row>
    <row r="20" ht="15" customHeight="1" spans="1:20" x14ac:dyDescent="0.25">
      <c r="A20" s="7"/>
      <c r="B20" s="36">
        <f t="shared" si="0"/>
        <v>13</v>
      </c>
      <c r="C20" s="37"/>
      <c r="D20" s="36"/>
      <c r="E20" s="38" t="s">
        <v>27</v>
      </c>
      <c r="F20" s="10"/>
      <c r="G20" s="39"/>
      <c r="H20" s="46"/>
      <c r="I20" s="36"/>
      <c r="J20" s="40"/>
      <c r="K20" s="36"/>
      <c r="L20" s="41"/>
      <c r="M20" s="18" t="s">
        <v>28</v>
      </c>
      <c r="N20" s="42"/>
      <c r="O20" s="43"/>
      <c r="P20" s="42"/>
      <c r="Q20" s="44"/>
      <c r="R20" s="44"/>
      <c r="S20" s="45"/>
      <c r="T20" s="1"/>
    </row>
    <row r="21" ht="15" customHeight="1" spans="1:20" x14ac:dyDescent="0.25">
      <c r="A21" s="7"/>
      <c r="B21" s="36">
        <f t="shared" si="0"/>
        <v>14</v>
      </c>
      <c r="C21" s="37"/>
      <c r="D21" s="36"/>
      <c r="E21" s="38" t="s">
        <v>27</v>
      </c>
      <c r="F21" s="10"/>
      <c r="G21" s="39"/>
      <c r="H21" s="36"/>
      <c r="I21" s="36"/>
      <c r="J21" s="40"/>
      <c r="K21" s="36"/>
      <c r="L21" s="41"/>
      <c r="M21" s="18" t="s">
        <v>28</v>
      </c>
      <c r="N21" s="42"/>
      <c r="O21" s="43"/>
      <c r="P21" s="42"/>
      <c r="Q21" s="44"/>
      <c r="R21" s="44"/>
      <c r="S21" s="18"/>
      <c r="T21" s="1"/>
    </row>
    <row r="22" ht="15" customHeight="1" spans="1:20" x14ac:dyDescent="0.25">
      <c r="A22" s="48"/>
      <c r="B22" s="36">
        <f t="shared" si="0"/>
        <v>15</v>
      </c>
      <c r="C22" s="37"/>
      <c r="D22" s="36"/>
      <c r="E22" s="38" t="s">
        <v>27</v>
      </c>
      <c r="F22" s="10"/>
      <c r="G22" s="39"/>
      <c r="H22" s="36"/>
      <c r="I22" s="36"/>
      <c r="J22" s="40"/>
      <c r="K22" s="36"/>
      <c r="L22" s="41"/>
      <c r="M22" s="18" t="s">
        <v>28</v>
      </c>
      <c r="N22" s="42"/>
      <c r="O22" s="43"/>
      <c r="P22" s="42"/>
      <c r="Q22" s="44"/>
      <c r="R22" s="44"/>
      <c r="S22" s="45"/>
      <c r="T22" s="1"/>
    </row>
    <row r="23" ht="15" customHeight="1" spans="1:20" x14ac:dyDescent="0.25">
      <c r="A23" s="1"/>
      <c r="B23" s="36">
        <f t="shared" si="0"/>
        <v>16</v>
      </c>
      <c r="C23" s="37"/>
      <c r="D23" s="36"/>
      <c r="E23" s="38" t="s">
        <v>27</v>
      </c>
      <c r="F23" s="10"/>
      <c r="G23" s="39"/>
      <c r="H23" s="36"/>
      <c r="I23" s="36"/>
      <c r="J23" s="40"/>
      <c r="K23" s="36"/>
      <c r="L23" s="41"/>
      <c r="M23" s="18" t="s">
        <v>28</v>
      </c>
      <c r="N23" s="42"/>
      <c r="O23" s="43"/>
      <c r="P23" s="42"/>
      <c r="Q23" s="44"/>
      <c r="R23" s="44"/>
      <c r="S23" s="18"/>
      <c r="T23" s="1"/>
    </row>
    <row r="24" ht="15" customHeight="1" spans="1:20" x14ac:dyDescent="0.25">
      <c r="A24" s="7"/>
      <c r="B24" s="36">
        <f t="shared" si="0"/>
        <v>17</v>
      </c>
      <c r="C24" s="37"/>
      <c r="D24" s="36"/>
      <c r="E24" s="38" t="s">
        <v>27</v>
      </c>
      <c r="F24" s="10"/>
      <c r="G24" s="39"/>
      <c r="H24" s="46"/>
      <c r="I24" s="36"/>
      <c r="J24" s="40"/>
      <c r="K24" s="36"/>
      <c r="L24" s="41"/>
      <c r="M24" s="18" t="s">
        <v>28</v>
      </c>
      <c r="N24" s="42"/>
      <c r="O24" s="43"/>
      <c r="P24" s="42"/>
      <c r="Q24" s="44"/>
      <c r="R24" s="44"/>
      <c r="S24" s="45"/>
      <c r="T24" s="1"/>
    </row>
    <row r="25" ht="15" customHeight="1" spans="1:20" x14ac:dyDescent="0.25">
      <c r="A25" s="1"/>
      <c r="B25" s="36">
        <f t="shared" si="0"/>
        <v>18</v>
      </c>
      <c r="C25" s="37"/>
      <c r="D25" s="36"/>
      <c r="E25" s="38" t="s">
        <v>27</v>
      </c>
      <c r="F25" s="10"/>
      <c r="G25" s="39"/>
      <c r="H25" s="46"/>
      <c r="I25" s="36"/>
      <c r="J25" s="40"/>
      <c r="K25" s="36"/>
      <c r="L25" s="47"/>
      <c r="M25" s="18" t="s">
        <v>28</v>
      </c>
      <c r="N25" s="42"/>
      <c r="O25" s="43"/>
      <c r="P25" s="42"/>
      <c r="Q25" s="44"/>
      <c r="R25" s="44"/>
      <c r="S25" s="18"/>
      <c r="T25" s="1"/>
    </row>
    <row r="26" ht="15" customHeight="1" spans="1:20" x14ac:dyDescent="0.25">
      <c r="A26" s="7"/>
      <c r="B26" s="36">
        <f t="shared" si="0"/>
        <v>19</v>
      </c>
      <c r="C26" s="37"/>
      <c r="D26" s="36"/>
      <c r="E26" s="38" t="s">
        <v>27</v>
      </c>
      <c r="F26" s="10"/>
      <c r="G26" s="39"/>
      <c r="H26" s="46"/>
      <c r="I26" s="36"/>
      <c r="J26" s="40"/>
      <c r="K26" s="36"/>
      <c r="L26" s="41"/>
      <c r="M26" s="18" t="s">
        <v>28</v>
      </c>
      <c r="N26" s="42"/>
      <c r="O26" s="43"/>
      <c r="P26" s="42"/>
      <c r="Q26" s="44"/>
      <c r="R26" s="44"/>
      <c r="S26" s="45"/>
      <c r="T26" s="1"/>
    </row>
    <row r="27" ht="13" customHeight="1" spans="1:20" x14ac:dyDescent="0.25">
      <c r="A27" s="1"/>
      <c r="B27" s="36">
        <f t="shared" si="0"/>
        <v>20</v>
      </c>
      <c r="C27" s="37"/>
      <c r="D27" s="36"/>
      <c r="E27" s="38" t="s">
        <v>27</v>
      </c>
      <c r="F27" s="10"/>
      <c r="G27" s="39"/>
      <c r="H27" s="46"/>
      <c r="I27" s="36"/>
      <c r="J27" s="40"/>
      <c r="K27" s="36"/>
      <c r="L27" s="41"/>
      <c r="M27" s="18" t="s">
        <v>28</v>
      </c>
      <c r="N27" s="42"/>
      <c r="O27" s="43"/>
      <c r="P27" s="42"/>
      <c r="Q27" s="44"/>
      <c r="R27" s="44"/>
      <c r="S27" s="18"/>
      <c r="T27" s="1"/>
    </row>
    <row r="28" ht="13" customHeight="1" spans="1:20" x14ac:dyDescent="0.25">
      <c r="A28" s="7"/>
      <c r="B28" s="36">
        <f t="shared" si="0"/>
        <v>21</v>
      </c>
      <c r="C28" s="37"/>
      <c r="D28" s="36"/>
      <c r="E28" s="38" t="s">
        <v>27</v>
      </c>
      <c r="F28" s="10"/>
      <c r="G28" s="39"/>
      <c r="H28" s="46"/>
      <c r="I28" s="36"/>
      <c r="J28" s="40"/>
      <c r="K28" s="36"/>
      <c r="L28" s="41"/>
      <c r="M28" s="18" t="s">
        <v>28</v>
      </c>
      <c r="N28" s="42"/>
      <c r="O28" s="43"/>
      <c r="P28" s="42"/>
      <c r="Q28" s="44"/>
      <c r="R28" s="44"/>
      <c r="S28" s="45"/>
      <c r="T28" s="1"/>
    </row>
    <row r="29" ht="13" customHeight="1" spans="1:20" x14ac:dyDescent="0.25">
      <c r="A29" s="48"/>
      <c r="B29" s="36">
        <f t="shared" si="0"/>
        <v>22</v>
      </c>
      <c r="C29" s="37"/>
      <c r="D29" s="36"/>
      <c r="E29" s="38" t="s">
        <v>27</v>
      </c>
      <c r="F29" s="10"/>
      <c r="G29" s="39"/>
      <c r="H29" s="46"/>
      <c r="I29" s="36"/>
      <c r="J29" s="40"/>
      <c r="K29" s="36"/>
      <c r="L29" s="47"/>
      <c r="M29" s="18" t="s">
        <v>28</v>
      </c>
      <c r="N29" s="42"/>
      <c r="O29" s="43"/>
      <c r="P29" s="42"/>
      <c r="Q29" s="44"/>
      <c r="R29" s="44"/>
      <c r="S29" s="18"/>
      <c r="T29" s="1"/>
    </row>
    <row r="30" ht="13" customHeight="1" spans="1:20" x14ac:dyDescent="0.25">
      <c r="A30" s="7"/>
      <c r="B30" s="36">
        <f t="shared" si="0"/>
        <v>23</v>
      </c>
      <c r="C30" s="51"/>
      <c r="D30" s="36"/>
      <c r="E30" s="38" t="s">
        <v>27</v>
      </c>
      <c r="F30" s="10"/>
      <c r="G30" s="52"/>
      <c r="H30" s="46"/>
      <c r="I30" s="36"/>
      <c r="J30" s="40"/>
      <c r="K30" s="36"/>
      <c r="L30" s="47"/>
      <c r="M30" s="18" t="s">
        <v>28</v>
      </c>
      <c r="N30" s="42"/>
      <c r="O30" s="43"/>
      <c r="P30" s="42"/>
      <c r="Q30" s="44"/>
      <c r="R30" s="44"/>
      <c r="S30" s="45"/>
      <c r="T30" s="1"/>
    </row>
    <row r="31" ht="13" customHeight="1" spans="1:20" x14ac:dyDescent="0.25">
      <c r="A31" s="7"/>
      <c r="B31" s="36">
        <f t="shared" si="0"/>
        <v>24</v>
      </c>
      <c r="C31" s="47"/>
      <c r="D31" s="39"/>
      <c r="E31" s="38" t="s">
        <v>27</v>
      </c>
      <c r="F31" s="10"/>
      <c r="G31" s="39"/>
      <c r="H31" s="36"/>
      <c r="I31" s="36"/>
      <c r="J31" s="40"/>
      <c r="K31" s="36"/>
      <c r="L31" s="41"/>
      <c r="M31" s="18" t="s">
        <v>28</v>
      </c>
      <c r="N31" s="42"/>
      <c r="O31" s="43"/>
      <c r="P31" s="42"/>
      <c r="Q31" s="44"/>
      <c r="R31" s="44"/>
      <c r="S31" s="18"/>
      <c r="T31" s="1"/>
    </row>
    <row r="32" ht="13" customHeight="1" spans="1:20" x14ac:dyDescent="0.25">
      <c r="A32" s="48"/>
      <c r="B32" s="36">
        <f t="shared" si="0"/>
        <v>25</v>
      </c>
      <c r="C32" s="47"/>
      <c r="D32" s="39"/>
      <c r="E32" s="38" t="s">
        <v>27</v>
      </c>
      <c r="F32" s="10"/>
      <c r="G32" s="39"/>
      <c r="H32" s="36"/>
      <c r="I32" s="36"/>
      <c r="J32" s="40"/>
      <c r="K32" s="36"/>
      <c r="L32" s="41"/>
      <c r="M32" s="18" t="s">
        <v>28</v>
      </c>
      <c r="N32" s="42"/>
      <c r="O32" s="43"/>
      <c r="P32" s="42"/>
      <c r="Q32" s="44"/>
      <c r="R32" s="44"/>
      <c r="S32" s="45"/>
      <c r="T32" s="1"/>
    </row>
    <row r="33" ht="13" customHeight="1" spans="1:20" x14ac:dyDescent="0.25">
      <c r="A33" s="48"/>
      <c r="B33" s="36">
        <f t="shared" si="0"/>
        <v>26</v>
      </c>
      <c r="C33" s="47"/>
      <c r="D33" s="39"/>
      <c r="E33" s="38" t="s">
        <v>27</v>
      </c>
      <c r="F33" s="10"/>
      <c r="G33" s="39"/>
      <c r="H33" s="36"/>
      <c r="I33" s="36"/>
      <c r="J33" s="40"/>
      <c r="K33" s="36"/>
      <c r="L33" s="41"/>
      <c r="M33" s="18" t="s">
        <v>28</v>
      </c>
      <c r="N33" s="42"/>
      <c r="O33" s="43"/>
      <c r="P33" s="42"/>
      <c r="Q33" s="44"/>
      <c r="R33" s="44"/>
      <c r="S33" s="18"/>
      <c r="T33" s="1"/>
    </row>
    <row r="34" ht="13" customHeight="1" spans="1:20" x14ac:dyDescent="0.25">
      <c r="A34" s="48"/>
      <c r="B34" s="36">
        <f t="shared" si="0"/>
        <v>27</v>
      </c>
      <c r="C34" s="47"/>
      <c r="D34" s="39"/>
      <c r="E34" s="38" t="s">
        <v>27</v>
      </c>
      <c r="F34" s="10"/>
      <c r="G34" s="39"/>
      <c r="H34" s="36"/>
      <c r="I34" s="36"/>
      <c r="J34" s="40"/>
      <c r="K34" s="36"/>
      <c r="L34" s="41"/>
      <c r="M34" s="18" t="s">
        <v>28</v>
      </c>
      <c r="N34" s="42"/>
      <c r="O34" s="43"/>
      <c r="P34" s="42"/>
      <c r="Q34" s="44"/>
      <c r="R34" s="44"/>
      <c r="S34" s="45"/>
      <c r="T34" s="1"/>
    </row>
    <row r="35" ht="13" customHeight="1" spans="1:20" x14ac:dyDescent="0.25">
      <c r="A35" s="48"/>
      <c r="B35" s="36">
        <f t="shared" si="0"/>
        <v>28</v>
      </c>
      <c r="C35" s="47"/>
      <c r="D35" s="39"/>
      <c r="E35" s="38" t="s">
        <v>27</v>
      </c>
      <c r="F35" s="10"/>
      <c r="G35" s="39"/>
      <c r="H35" s="36"/>
      <c r="I35" s="36"/>
      <c r="J35" s="40"/>
      <c r="K35" s="36"/>
      <c r="L35" s="41"/>
      <c r="M35" s="18" t="s">
        <v>28</v>
      </c>
      <c r="N35" s="42"/>
      <c r="O35" s="43"/>
      <c r="P35" s="42"/>
      <c r="Q35" s="44"/>
      <c r="R35" s="44"/>
      <c r="S35" s="18"/>
      <c r="T35" s="1"/>
    </row>
    <row r="36" ht="13" customHeight="1" spans="1:20" x14ac:dyDescent="0.25">
      <c r="A36" s="1"/>
      <c r="B36" s="53"/>
      <c r="C36" s="54"/>
      <c r="D36" s="55"/>
      <c r="E36" s="54"/>
      <c r="F36" s="2"/>
      <c r="G36" s="2"/>
      <c r="H36" s="4"/>
      <c r="I36" s="4"/>
      <c r="J36" s="5"/>
      <c r="K36" s="4"/>
      <c r="L36" s="3"/>
      <c r="M36" s="4"/>
      <c r="N36" s="2"/>
      <c r="O36" s="3"/>
      <c r="P36" s="2"/>
      <c r="Q36" s="6"/>
      <c r="R36" s="6"/>
      <c r="S36" s="3"/>
      <c r="T36" s="1"/>
    </row>
    <row r="37" ht="13" customHeight="1" spans="1:20" x14ac:dyDescent="0.25">
      <c r="A37" s="7"/>
      <c r="B37" s="56" t="s">
        <v>29</v>
      </c>
      <c r="C37" s="9"/>
      <c r="D37" s="9"/>
      <c r="E37" s="9"/>
      <c r="F37" s="9"/>
      <c r="G37" s="9"/>
      <c r="H37" s="9"/>
      <c r="I37" s="9"/>
      <c r="J37" s="9"/>
      <c r="K37" s="9"/>
      <c r="L37" s="9"/>
      <c r="M37" s="9"/>
      <c r="N37" s="9"/>
      <c r="O37" s="9"/>
      <c r="P37" s="9"/>
      <c r="Q37" s="9"/>
      <c r="R37" s="9"/>
      <c r="S37" s="10"/>
      <c r="T37" s="11"/>
    </row>
    <row r="38" ht="13" customHeight="1" spans="1:20" x14ac:dyDescent="0.25">
      <c r="A38" s="1"/>
      <c r="B38" s="2"/>
      <c r="C38" s="3"/>
      <c r="D38" s="4"/>
      <c r="E38" s="3"/>
      <c r="F38" s="2"/>
      <c r="G38" s="2"/>
      <c r="H38" s="4"/>
      <c r="I38" s="4"/>
      <c r="J38" s="5"/>
      <c r="K38" s="4"/>
      <c r="L38" s="3"/>
      <c r="M38" s="4"/>
      <c r="N38" s="57"/>
      <c r="O38" s="3"/>
      <c r="P38" s="2"/>
      <c r="Q38" s="6"/>
      <c r="R38" s="6"/>
      <c r="S38" s="58"/>
      <c r="T38" s="1"/>
    </row>
    <row r="39" ht="20" customHeight="1" spans="1:20" x14ac:dyDescent="0.25">
      <c r="A39" s="7"/>
      <c r="B39" s="17" t="s">
        <v>30</v>
      </c>
      <c r="C39" s="9"/>
      <c r="D39" s="9"/>
      <c r="E39" s="18" t="s">
        <v>2</v>
      </c>
      <c r="F39" s="19" t="s">
        <v>3</v>
      </c>
      <c r="G39" s="18" t="s">
        <v>4</v>
      </c>
      <c r="H39" s="19">
        <f>SUM(K43:K55)</f>
        <v>0</v>
      </c>
      <c r="I39" s="20"/>
      <c r="J39" s="20"/>
      <c r="K39" s="21" t="s">
        <v>5</v>
      </c>
      <c r="L39" s="9"/>
      <c r="M39" s="22" t="str">
        <f>IF(F39&lt;&gt;H39,"Revisar","Correcto")</f>
        <v>Revisar</v>
      </c>
      <c r="N39" s="23"/>
      <c r="O39" s="21" t="s">
        <v>31</v>
      </c>
      <c r="P39" s="9"/>
      <c r="Q39" s="9"/>
      <c r="R39" s="19">
        <f>SUM(N43:N55)</f>
        <v>0</v>
      </c>
      <c r="S39" s="24"/>
      <c r="T39" s="1"/>
    </row>
    <row r="40" ht="13" customHeight="1" spans="1:20" x14ac:dyDescent="0.25">
      <c r="A40" s="1"/>
      <c r="B40" s="2"/>
      <c r="C40" s="3"/>
      <c r="D40" s="4"/>
      <c r="E40" s="54"/>
      <c r="F40" s="2"/>
      <c r="G40" s="2"/>
      <c r="H40" s="4"/>
      <c r="I40" s="4"/>
      <c r="J40" s="5"/>
      <c r="K40" s="4"/>
      <c r="L40" s="3"/>
      <c r="M40" s="4"/>
      <c r="N40" s="53"/>
      <c r="O40" s="3"/>
      <c r="P40" s="2"/>
      <c r="Q40" s="6"/>
      <c r="R40" s="6"/>
      <c r="S40" s="54"/>
      <c r="T40" s="1"/>
    </row>
    <row r="41" ht="13" customHeight="1" spans="1:20" x14ac:dyDescent="0.25">
      <c r="A41" s="7"/>
      <c r="B41" s="26" t="s">
        <v>32</v>
      </c>
      <c r="C41" s="27"/>
      <c r="D41" s="28"/>
      <c r="E41" s="29" t="s">
        <v>8</v>
      </c>
      <c r="F41" s="27"/>
      <c r="G41" s="27"/>
      <c r="H41" s="27"/>
      <c r="I41" s="27"/>
      <c r="J41" s="27"/>
      <c r="K41" s="27"/>
      <c r="L41" s="28"/>
      <c r="M41" s="59" t="s">
        <v>9</v>
      </c>
      <c r="N41" s="9"/>
      <c r="O41" s="9"/>
      <c r="P41" s="9"/>
      <c r="Q41" s="9"/>
      <c r="R41" s="9"/>
      <c r="S41" s="10"/>
      <c r="T41" s="1"/>
    </row>
    <row r="42" ht="20" customHeight="1" spans="1:20" x14ac:dyDescent="0.25">
      <c r="A42" s="1"/>
      <c r="B42" s="31" t="s">
        <v>10</v>
      </c>
      <c r="C42" s="31" t="s">
        <v>11</v>
      </c>
      <c r="D42" s="31" t="s">
        <v>12</v>
      </c>
      <c r="E42" s="32" t="s">
        <v>13</v>
      </c>
      <c r="F42" s="10"/>
      <c r="G42" s="31" t="s">
        <v>14</v>
      </c>
      <c r="H42" s="31" t="s">
        <v>15</v>
      </c>
      <c r="I42" s="31" t="s">
        <v>16</v>
      </c>
      <c r="J42" s="31" t="s">
        <v>17</v>
      </c>
      <c r="K42" s="31" t="s">
        <v>18</v>
      </c>
      <c r="L42" s="31" t="s">
        <v>19</v>
      </c>
      <c r="M42" s="33" t="s">
        <v>20</v>
      </c>
      <c r="N42" s="34" t="s">
        <v>21</v>
      </c>
      <c r="O42" s="34" t="s">
        <v>22</v>
      </c>
      <c r="P42" s="35" t="s">
        <v>23</v>
      </c>
      <c r="Q42" s="33" t="s">
        <v>24</v>
      </c>
      <c r="R42" s="33" t="s">
        <v>25</v>
      </c>
      <c r="S42" s="34" t="s">
        <v>26</v>
      </c>
      <c r="T42" s="1"/>
    </row>
    <row r="43" ht="13" customHeight="1" spans="1:20" x14ac:dyDescent="0.25">
      <c r="A43" s="7"/>
      <c r="B43" s="36">
        <v>1</v>
      </c>
      <c r="C43" s="37"/>
      <c r="D43" s="36"/>
      <c r="E43" s="38"/>
      <c r="F43" s="10"/>
      <c r="G43" s="39"/>
      <c r="H43" s="36"/>
      <c r="I43" s="36"/>
      <c r="J43" s="40"/>
      <c r="K43" s="36"/>
      <c r="L43" s="41"/>
      <c r="M43" s="18" t="s">
        <v>28</v>
      </c>
      <c r="N43" s="42"/>
      <c r="O43" s="43"/>
      <c r="P43" s="42"/>
      <c r="Q43" s="44"/>
      <c r="R43" s="44"/>
      <c r="S43" s="18"/>
      <c r="T43" s="1"/>
    </row>
    <row r="44" ht="13" customHeight="1" spans="1:20" x14ac:dyDescent="0.25">
      <c r="A44" s="7"/>
      <c r="B44" s="36">
        <f t="shared" ref="B44:B55" si="1">B43+1</f>
        <v>2</v>
      </c>
      <c r="C44" s="37"/>
      <c r="D44" s="36"/>
      <c r="E44" s="38"/>
      <c r="F44" s="10"/>
      <c r="G44" s="39"/>
      <c r="H44" s="46"/>
      <c r="I44" s="36"/>
      <c r="J44" s="40"/>
      <c r="K44" s="36"/>
      <c r="L44" s="41"/>
      <c r="M44" s="18" t="s">
        <v>28</v>
      </c>
      <c r="N44" s="42"/>
      <c r="O44" s="43"/>
      <c r="P44" s="42"/>
      <c r="Q44" s="44"/>
      <c r="R44" s="44"/>
      <c r="S44" s="18"/>
      <c r="T44" s="1"/>
    </row>
    <row r="45" ht="13" customHeight="1" spans="1:20" x14ac:dyDescent="0.25">
      <c r="A45" s="7"/>
      <c r="B45" s="36">
        <f t="shared" si="1"/>
        <v>3</v>
      </c>
      <c r="C45" s="37"/>
      <c r="D45" s="36"/>
      <c r="E45" s="38"/>
      <c r="F45" s="10"/>
      <c r="G45" s="39"/>
      <c r="H45" s="36"/>
      <c r="I45" s="36"/>
      <c r="J45" s="40"/>
      <c r="K45" s="60"/>
      <c r="L45" s="41"/>
      <c r="M45" s="18" t="s">
        <v>28</v>
      </c>
      <c r="N45" s="42"/>
      <c r="O45" s="43"/>
      <c r="P45" s="42"/>
      <c r="Q45" s="44"/>
      <c r="R45" s="44"/>
      <c r="S45" s="18"/>
      <c r="T45" s="1"/>
    </row>
    <row r="46" ht="13" customHeight="1" spans="1:20" x14ac:dyDescent="0.25">
      <c r="A46" s="7"/>
      <c r="B46" s="36">
        <f t="shared" si="1"/>
        <v>4</v>
      </c>
      <c r="C46" s="37"/>
      <c r="D46" s="36"/>
      <c r="E46" s="38"/>
      <c r="F46" s="10"/>
      <c r="G46" s="39"/>
      <c r="H46" s="46"/>
      <c r="I46" s="36"/>
      <c r="J46" s="40"/>
      <c r="K46" s="60"/>
      <c r="L46" s="41"/>
      <c r="M46" s="18" t="s">
        <v>28</v>
      </c>
      <c r="N46" s="42"/>
      <c r="O46" s="43"/>
      <c r="P46" s="42"/>
      <c r="Q46" s="44"/>
      <c r="R46" s="44"/>
      <c r="S46" s="18"/>
      <c r="T46" s="1"/>
    </row>
    <row r="47" ht="13" customHeight="1" spans="1:20" x14ac:dyDescent="0.25">
      <c r="A47" s="48"/>
      <c r="B47" s="36">
        <f t="shared" si="1"/>
        <v>5</v>
      </c>
      <c r="C47" s="37"/>
      <c r="D47" s="36"/>
      <c r="E47" s="38"/>
      <c r="F47" s="10"/>
      <c r="G47" s="39"/>
      <c r="H47" s="36"/>
      <c r="I47" s="36"/>
      <c r="J47" s="40"/>
      <c r="K47" s="60"/>
      <c r="L47" s="41"/>
      <c r="M47" s="18" t="s">
        <v>28</v>
      </c>
      <c r="N47" s="42"/>
      <c r="O47" s="43"/>
      <c r="P47" s="42"/>
      <c r="Q47" s="44"/>
      <c r="R47" s="44"/>
      <c r="S47" s="18"/>
      <c r="T47" s="1"/>
    </row>
    <row r="48" ht="13" customHeight="1" spans="1:20" x14ac:dyDescent="0.25">
      <c r="A48" s="7"/>
      <c r="B48" s="36">
        <f t="shared" si="1"/>
        <v>6</v>
      </c>
      <c r="C48" s="37"/>
      <c r="D48" s="36"/>
      <c r="E48" s="38"/>
      <c r="F48" s="10"/>
      <c r="G48" s="39"/>
      <c r="H48" s="36"/>
      <c r="I48" s="36"/>
      <c r="J48" s="40"/>
      <c r="K48" s="60"/>
      <c r="L48" s="41"/>
      <c r="M48" s="18" t="s">
        <v>28</v>
      </c>
      <c r="N48" s="42"/>
      <c r="O48" s="43"/>
      <c r="P48" s="42"/>
      <c r="Q48" s="44"/>
      <c r="R48" s="44"/>
      <c r="S48" s="18"/>
      <c r="T48" s="1"/>
    </row>
    <row r="49" ht="13" customHeight="1" spans="1:20" x14ac:dyDescent="0.25">
      <c r="A49" s="7"/>
      <c r="B49" s="36">
        <f t="shared" si="1"/>
        <v>7</v>
      </c>
      <c r="C49" s="37"/>
      <c r="D49" s="36"/>
      <c r="E49" s="38"/>
      <c r="F49" s="10"/>
      <c r="G49" s="39"/>
      <c r="H49" s="46"/>
      <c r="I49" s="36"/>
      <c r="J49" s="40"/>
      <c r="K49" s="60"/>
      <c r="L49" s="41"/>
      <c r="M49" s="18" t="s">
        <v>28</v>
      </c>
      <c r="N49" s="42"/>
      <c r="O49" s="43"/>
      <c r="P49" s="42"/>
      <c r="Q49" s="44"/>
      <c r="R49" s="44"/>
      <c r="S49" s="18"/>
      <c r="T49" s="1"/>
    </row>
    <row r="50" ht="13" customHeight="1" spans="1:20" x14ac:dyDescent="0.25">
      <c r="A50" s="48"/>
      <c r="B50" s="36">
        <f t="shared" si="1"/>
        <v>8</v>
      </c>
      <c r="C50" s="37"/>
      <c r="D50" s="36"/>
      <c r="E50" s="38"/>
      <c r="F50" s="10"/>
      <c r="G50" s="39"/>
      <c r="H50" s="36"/>
      <c r="I50" s="36"/>
      <c r="J50" s="40"/>
      <c r="K50" s="60"/>
      <c r="L50" s="41"/>
      <c r="M50" s="18" t="s">
        <v>28</v>
      </c>
      <c r="N50" s="42"/>
      <c r="O50" s="43"/>
      <c r="P50" s="42"/>
      <c r="Q50" s="44"/>
      <c r="R50" s="44"/>
      <c r="S50" s="18"/>
      <c r="T50" s="1"/>
    </row>
    <row r="51" ht="13" customHeight="1" spans="1:20" x14ac:dyDescent="0.25">
      <c r="A51" s="7"/>
      <c r="B51" s="36">
        <f t="shared" si="1"/>
        <v>9</v>
      </c>
      <c r="C51" s="37"/>
      <c r="D51" s="36"/>
      <c r="E51" s="38"/>
      <c r="F51" s="10"/>
      <c r="G51" s="39"/>
      <c r="H51" s="36"/>
      <c r="I51" s="36"/>
      <c r="J51" s="40"/>
      <c r="K51" s="60"/>
      <c r="L51" s="41"/>
      <c r="M51" s="18" t="s">
        <v>28</v>
      </c>
      <c r="N51" s="42"/>
      <c r="O51" s="43"/>
      <c r="P51" s="42"/>
      <c r="Q51" s="44"/>
      <c r="R51" s="44"/>
      <c r="S51" s="18"/>
      <c r="T51" s="1"/>
    </row>
    <row r="52" ht="13" customHeight="1" spans="1:20" x14ac:dyDescent="0.25">
      <c r="A52" s="48"/>
      <c r="B52" s="36">
        <f t="shared" si="1"/>
        <v>10</v>
      </c>
      <c r="C52" s="37"/>
      <c r="D52" s="36"/>
      <c r="E52" s="38"/>
      <c r="F52" s="10"/>
      <c r="G52" s="39"/>
      <c r="H52" s="36"/>
      <c r="I52" s="36"/>
      <c r="J52" s="40"/>
      <c r="K52" s="60"/>
      <c r="L52" s="61"/>
      <c r="M52" s="18" t="s">
        <v>28</v>
      </c>
      <c r="N52" s="42"/>
      <c r="O52" s="43"/>
      <c r="P52" s="42"/>
      <c r="Q52" s="44"/>
      <c r="R52" s="44"/>
      <c r="S52" s="18"/>
      <c r="T52" s="1"/>
    </row>
    <row r="53" ht="13" customHeight="1" spans="1:20" x14ac:dyDescent="0.25">
      <c r="A53" s="7"/>
      <c r="B53" s="36">
        <f t="shared" si="1"/>
        <v>11</v>
      </c>
      <c r="C53" s="37"/>
      <c r="D53" s="36"/>
      <c r="E53" s="38"/>
      <c r="F53" s="10"/>
      <c r="G53" s="39"/>
      <c r="H53" s="36"/>
      <c r="I53" s="36"/>
      <c r="J53" s="40"/>
      <c r="K53" s="60"/>
      <c r="L53" s="61"/>
      <c r="M53" s="18" t="s">
        <v>28</v>
      </c>
      <c r="N53" s="42"/>
      <c r="O53" s="43"/>
      <c r="P53" s="42"/>
      <c r="Q53" s="44"/>
      <c r="R53" s="44"/>
      <c r="S53" s="18"/>
      <c r="T53" s="1"/>
    </row>
    <row r="54" ht="13" customHeight="1" spans="1:20" x14ac:dyDescent="0.25">
      <c r="A54" s="7"/>
      <c r="B54" s="36">
        <f t="shared" si="1"/>
        <v>12</v>
      </c>
      <c r="C54" s="47"/>
      <c r="D54" s="39"/>
      <c r="E54" s="38"/>
      <c r="F54" s="10"/>
      <c r="G54" s="39"/>
      <c r="H54" s="36"/>
      <c r="I54" s="36"/>
      <c r="J54" s="40"/>
      <c r="K54" s="60"/>
      <c r="L54" s="41"/>
      <c r="M54" s="18" t="s">
        <v>28</v>
      </c>
      <c r="N54" s="42"/>
      <c r="O54" s="43"/>
      <c r="P54" s="42"/>
      <c r="Q54" s="44"/>
      <c r="R54" s="44"/>
      <c r="S54" s="18"/>
      <c r="T54" s="1"/>
    </row>
    <row r="55" ht="13" customHeight="1" spans="1:20" x14ac:dyDescent="0.25">
      <c r="A55" s="7"/>
      <c r="B55" s="36">
        <f t="shared" si="1"/>
        <v>13</v>
      </c>
      <c r="C55" s="47"/>
      <c r="D55" s="39"/>
      <c r="E55" s="38"/>
      <c r="F55" s="10"/>
      <c r="G55" s="39"/>
      <c r="H55" s="36"/>
      <c r="I55" s="36"/>
      <c r="J55" s="40"/>
      <c r="K55" s="60"/>
      <c r="L55" s="41"/>
      <c r="M55" s="18" t="s">
        <v>28</v>
      </c>
      <c r="N55" s="42"/>
      <c r="O55" s="43"/>
      <c r="P55" s="42"/>
      <c r="Q55" s="44"/>
      <c r="R55" s="44"/>
      <c r="S55" s="18"/>
      <c r="T55" s="1"/>
    </row>
    <row r="56" ht="13" customHeight="1" spans="1:20" x14ac:dyDescent="0.25">
      <c r="A56" s="1"/>
      <c r="B56" s="62"/>
      <c r="C56" s="63"/>
      <c r="D56" s="64"/>
      <c r="E56" s="65"/>
      <c r="F56" s="66"/>
      <c r="G56" s="57"/>
      <c r="H56" s="67"/>
      <c r="I56" s="67"/>
      <c r="J56" s="68"/>
      <c r="K56" s="67"/>
      <c r="L56" s="58"/>
      <c r="M56" s="67"/>
      <c r="N56" s="57"/>
      <c r="O56" s="58"/>
      <c r="P56" s="57"/>
      <c r="Q56" s="69"/>
      <c r="R56" s="69"/>
      <c r="S56" s="58"/>
      <c r="T56" s="1"/>
    </row>
    <row r="57" ht="13" customHeight="1" spans="1:20" x14ac:dyDescent="0.25">
      <c r="A57" s="70"/>
      <c r="B57" s="71" t="s">
        <v>33</v>
      </c>
      <c r="C57" s="72"/>
      <c r="D57" s="72"/>
      <c r="E57" s="72"/>
      <c r="F57" s="72"/>
      <c r="G57" s="72"/>
      <c r="H57" s="72"/>
      <c r="I57" s="72"/>
      <c r="J57" s="72"/>
      <c r="K57" s="72"/>
      <c r="L57" s="72"/>
      <c r="M57" s="72"/>
      <c r="N57" s="72"/>
      <c r="O57" s="72"/>
      <c r="P57" s="72"/>
      <c r="Q57" s="72"/>
      <c r="R57" s="72"/>
      <c r="S57" s="73"/>
      <c r="T57" s="74"/>
    </row>
    <row r="58" ht="13" customHeight="1" spans="1:20" x14ac:dyDescent="0.25">
      <c r="A58" s="70"/>
      <c r="B58" s="53"/>
      <c r="C58" s="54"/>
      <c r="D58" s="53"/>
      <c r="E58" s="54"/>
      <c r="F58" s="62"/>
      <c r="G58" s="62"/>
      <c r="H58" s="62"/>
      <c r="I58" s="62"/>
      <c r="J58" s="63"/>
      <c r="K58" s="75"/>
      <c r="L58" s="75"/>
      <c r="M58" s="62"/>
      <c r="N58" s="64"/>
      <c r="O58" s="75"/>
      <c r="P58" s="64"/>
      <c r="Q58" s="64"/>
      <c r="R58" s="64"/>
      <c r="S58" s="64"/>
      <c r="T58" s="64"/>
    </row>
    <row r="59" ht="13" customHeight="1" spans="1:20" x14ac:dyDescent="0.25">
      <c r="A59" s="70"/>
      <c r="B59" s="26" t="s">
        <v>34</v>
      </c>
      <c r="C59" s="28"/>
      <c r="D59" s="76" t="s">
        <v>35</v>
      </c>
      <c r="E59" s="77">
        <f>SUM(K64:K83)</f>
        <v>0</v>
      </c>
      <c r="F59" s="78"/>
      <c r="G59" s="62"/>
      <c r="H59" s="62"/>
      <c r="I59" s="62"/>
      <c r="J59" s="63"/>
      <c r="K59" s="62"/>
      <c r="L59" s="63"/>
      <c r="M59" s="62"/>
      <c r="N59" s="62"/>
      <c r="O59" s="63"/>
      <c r="P59" s="62"/>
      <c r="Q59" s="62"/>
      <c r="R59" s="62"/>
      <c r="S59" s="62"/>
      <c r="T59" s="62"/>
    </row>
    <row r="60" ht="13" customHeight="1" spans="1:20" x14ac:dyDescent="0.25">
      <c r="A60" s="70"/>
      <c r="B60" s="79"/>
      <c r="C60" s="80"/>
      <c r="D60" s="76" t="s">
        <v>36</v>
      </c>
      <c r="E60" s="81">
        <f>SUM(N64:N83)</f>
        <v>0</v>
      </c>
      <c r="F60" s="82"/>
      <c r="G60" s="53"/>
      <c r="H60" s="53"/>
      <c r="I60" s="53"/>
      <c r="J60" s="54"/>
      <c r="K60" s="53"/>
      <c r="L60" s="54"/>
      <c r="M60" s="53"/>
      <c r="N60" s="53"/>
      <c r="O60" s="54"/>
      <c r="P60" s="53"/>
      <c r="Q60" s="53"/>
      <c r="R60" s="53"/>
      <c r="S60" s="53"/>
      <c r="T60" s="53"/>
    </row>
    <row r="61" ht="13" customHeight="1" spans="1:20" x14ac:dyDescent="0.25">
      <c r="A61" s="70"/>
      <c r="B61" s="2"/>
      <c r="C61" s="3"/>
      <c r="D61" s="2"/>
      <c r="E61" s="3"/>
      <c r="F61" s="53"/>
      <c r="G61" s="53"/>
      <c r="H61" s="53"/>
      <c r="I61" s="53"/>
      <c r="J61" s="54"/>
      <c r="K61" s="25"/>
      <c r="L61" s="25"/>
      <c r="M61" s="53"/>
      <c r="N61" s="55"/>
      <c r="O61" s="25"/>
      <c r="P61" s="55"/>
      <c r="Q61" s="55"/>
      <c r="R61" s="53"/>
      <c r="S61" s="53"/>
      <c r="T61" s="53"/>
    </row>
    <row r="62" ht="13" customHeight="1" spans="1:20" x14ac:dyDescent="0.25">
      <c r="A62" s="70"/>
      <c r="B62" s="56" t="s">
        <v>37</v>
      </c>
      <c r="C62" s="9"/>
      <c r="D62" s="9"/>
      <c r="E62" s="9"/>
      <c r="F62" s="9"/>
      <c r="G62" s="9"/>
      <c r="H62" s="9"/>
      <c r="I62" s="9"/>
      <c r="J62" s="9"/>
      <c r="K62" s="9"/>
      <c r="L62" s="9"/>
      <c r="M62" s="83"/>
      <c r="N62" s="84" t="s">
        <v>38</v>
      </c>
      <c r="O62" s="9"/>
      <c r="P62" s="9"/>
      <c r="Q62" s="9"/>
      <c r="R62" s="9"/>
      <c r="S62" s="10"/>
      <c r="T62" s="82"/>
    </row>
    <row r="63" ht="20" customHeight="1" spans="1:20" x14ac:dyDescent="0.25">
      <c r="A63" s="70"/>
      <c r="B63" s="31" t="s">
        <v>10</v>
      </c>
      <c r="C63" s="31" t="s">
        <v>11</v>
      </c>
      <c r="D63" s="31" t="s">
        <v>12</v>
      </c>
      <c r="E63" s="85" t="s">
        <v>24</v>
      </c>
      <c r="F63" s="85" t="s">
        <v>25</v>
      </c>
      <c r="G63" s="85" t="s">
        <v>39</v>
      </c>
      <c r="H63" s="32" t="s">
        <v>40</v>
      </c>
      <c r="I63" s="10"/>
      <c r="J63" s="31" t="s">
        <v>20</v>
      </c>
      <c r="K63" s="31" t="s">
        <v>41</v>
      </c>
      <c r="L63" s="31" t="s">
        <v>42</v>
      </c>
      <c r="M63" s="31" t="s">
        <v>43</v>
      </c>
      <c r="N63" s="34" t="s">
        <v>44</v>
      </c>
      <c r="O63" s="86" t="s">
        <v>23</v>
      </c>
      <c r="P63" s="87" t="s">
        <v>22</v>
      </c>
      <c r="Q63" s="9"/>
      <c r="R63" s="10"/>
      <c r="S63" s="34" t="s">
        <v>26</v>
      </c>
      <c r="T63" s="82"/>
    </row>
    <row r="64" ht="13" customHeight="1" spans="1:20" x14ac:dyDescent="0.25">
      <c r="A64" s="70"/>
      <c r="B64" s="36">
        <v>1</v>
      </c>
      <c r="C64" s="47"/>
      <c r="D64" s="39"/>
      <c r="E64" s="42" t="s">
        <v>45</v>
      </c>
      <c r="F64" s="42" t="s">
        <v>45</v>
      </c>
      <c r="G64" s="42" t="s">
        <v>46</v>
      </c>
      <c r="H64" s="88" t="s">
        <v>47</v>
      </c>
      <c r="I64" s="10"/>
      <c r="J64" s="89" t="s">
        <v>48</v>
      </c>
      <c r="K64" s="90"/>
      <c r="L64" s="41"/>
      <c r="M64" s="91"/>
      <c r="N64" s="92">
        <f t="shared" ref="N64:N75" si="2">K64</f>
        <v>0</v>
      </c>
      <c r="O64" s="18"/>
      <c r="P64" s="93"/>
      <c r="Q64" s="9"/>
      <c r="R64" s="10"/>
      <c r="S64" s="94" t="s">
        <v>49</v>
      </c>
      <c r="T64" s="82"/>
    </row>
    <row r="65" ht="13" customHeight="1" spans="1:20" x14ac:dyDescent="0.25">
      <c r="A65" s="70"/>
      <c r="B65" s="36">
        <f t="shared" ref="B65:B84" si="3">B64+1</f>
        <v>2</v>
      </c>
      <c r="C65" s="47"/>
      <c r="D65" s="39"/>
      <c r="E65" s="42" t="s">
        <v>45</v>
      </c>
      <c r="F65" s="42" t="s">
        <v>45</v>
      </c>
      <c r="G65" s="42" t="s">
        <v>46</v>
      </c>
      <c r="H65" s="88" t="s">
        <v>47</v>
      </c>
      <c r="I65" s="10"/>
      <c r="J65" s="89" t="s">
        <v>48</v>
      </c>
      <c r="K65" s="90"/>
      <c r="L65" s="41"/>
      <c r="M65" s="91"/>
      <c r="N65" s="92">
        <f t="shared" si="2"/>
        <v>0</v>
      </c>
      <c r="O65" s="18"/>
      <c r="P65" s="93"/>
      <c r="Q65" s="9"/>
      <c r="R65" s="10"/>
      <c r="S65" s="94" t="s">
        <v>49</v>
      </c>
      <c r="T65" s="82"/>
    </row>
    <row r="66" ht="13" customHeight="1" spans="1:20" x14ac:dyDescent="0.25">
      <c r="A66" s="70"/>
      <c r="B66" s="36">
        <f t="shared" si="3"/>
        <v>3</v>
      </c>
      <c r="C66" s="47"/>
      <c r="D66" s="39"/>
      <c r="E66" s="42" t="s">
        <v>45</v>
      </c>
      <c r="F66" s="42" t="s">
        <v>45</v>
      </c>
      <c r="G66" s="42" t="s">
        <v>46</v>
      </c>
      <c r="H66" s="88" t="s">
        <v>47</v>
      </c>
      <c r="I66" s="10"/>
      <c r="J66" s="89" t="s">
        <v>48</v>
      </c>
      <c r="K66" s="90"/>
      <c r="L66" s="41"/>
      <c r="M66" s="91"/>
      <c r="N66" s="92">
        <f t="shared" si="2"/>
        <v>0</v>
      </c>
      <c r="O66" s="18"/>
      <c r="P66" s="93"/>
      <c r="Q66" s="9"/>
      <c r="R66" s="10"/>
      <c r="S66" s="94" t="s">
        <v>49</v>
      </c>
      <c r="T66" s="82"/>
    </row>
    <row r="67" ht="13" customHeight="1" spans="1:20" x14ac:dyDescent="0.25">
      <c r="A67" s="70"/>
      <c r="B67" s="36">
        <f t="shared" si="3"/>
        <v>4</v>
      </c>
      <c r="C67" s="47"/>
      <c r="D67" s="39"/>
      <c r="E67" s="42" t="s">
        <v>45</v>
      </c>
      <c r="F67" s="42" t="s">
        <v>45</v>
      </c>
      <c r="G67" s="42" t="s">
        <v>46</v>
      </c>
      <c r="H67" s="88" t="s">
        <v>47</v>
      </c>
      <c r="I67" s="10"/>
      <c r="J67" s="89" t="s">
        <v>48</v>
      </c>
      <c r="K67" s="90"/>
      <c r="L67" s="41"/>
      <c r="M67" s="91"/>
      <c r="N67" s="92">
        <f t="shared" si="2"/>
        <v>0</v>
      </c>
      <c r="O67" s="18"/>
      <c r="P67" s="93"/>
      <c r="Q67" s="9"/>
      <c r="R67" s="10"/>
      <c r="S67" s="94" t="s">
        <v>49</v>
      </c>
      <c r="T67" s="82"/>
    </row>
    <row r="68" ht="13" customHeight="1" spans="1:20" x14ac:dyDescent="0.25">
      <c r="A68" s="70"/>
      <c r="B68" s="36">
        <f t="shared" si="3"/>
        <v>5</v>
      </c>
      <c r="C68" s="47"/>
      <c r="D68" s="39"/>
      <c r="E68" s="42" t="s">
        <v>45</v>
      </c>
      <c r="F68" s="42" t="s">
        <v>45</v>
      </c>
      <c r="G68" s="42" t="s">
        <v>46</v>
      </c>
      <c r="H68" s="88" t="s">
        <v>47</v>
      </c>
      <c r="I68" s="10"/>
      <c r="J68" s="89" t="s">
        <v>48</v>
      </c>
      <c r="K68" s="90"/>
      <c r="L68" s="41"/>
      <c r="M68" s="91"/>
      <c r="N68" s="92">
        <f t="shared" si="2"/>
        <v>0</v>
      </c>
      <c r="O68" s="18"/>
      <c r="P68" s="93"/>
      <c r="Q68" s="9"/>
      <c r="R68" s="10"/>
      <c r="S68" s="94" t="s">
        <v>49</v>
      </c>
      <c r="T68" s="82"/>
    </row>
    <row r="69" ht="13" customHeight="1" spans="1:20" x14ac:dyDescent="0.25">
      <c r="A69" s="70"/>
      <c r="B69" s="36">
        <f t="shared" si="3"/>
        <v>6</v>
      </c>
      <c r="C69" s="47"/>
      <c r="D69" s="39"/>
      <c r="E69" s="42" t="s">
        <v>45</v>
      </c>
      <c r="F69" s="42" t="s">
        <v>45</v>
      </c>
      <c r="G69" s="42" t="s">
        <v>46</v>
      </c>
      <c r="H69" s="88" t="s">
        <v>47</v>
      </c>
      <c r="I69" s="10"/>
      <c r="J69" s="89" t="s">
        <v>48</v>
      </c>
      <c r="K69" s="90"/>
      <c r="L69" s="41"/>
      <c r="M69" s="91"/>
      <c r="N69" s="92">
        <f t="shared" si="2"/>
        <v>0</v>
      </c>
      <c r="O69" s="18"/>
      <c r="P69" s="93"/>
      <c r="Q69" s="9"/>
      <c r="R69" s="10"/>
      <c r="S69" s="94" t="s">
        <v>49</v>
      </c>
      <c r="T69" s="82"/>
    </row>
    <row r="70" ht="13" customHeight="1" spans="1:20" x14ac:dyDescent="0.25">
      <c r="A70" s="70"/>
      <c r="B70" s="36">
        <f t="shared" si="3"/>
        <v>7</v>
      </c>
      <c r="C70" s="47"/>
      <c r="D70" s="39"/>
      <c r="E70" s="42" t="s">
        <v>45</v>
      </c>
      <c r="F70" s="42" t="s">
        <v>45</v>
      </c>
      <c r="G70" s="42" t="s">
        <v>46</v>
      </c>
      <c r="H70" s="88" t="s">
        <v>47</v>
      </c>
      <c r="I70" s="10"/>
      <c r="J70" s="89" t="s">
        <v>48</v>
      </c>
      <c r="K70" s="90"/>
      <c r="L70" s="41"/>
      <c r="M70" s="91"/>
      <c r="N70" s="92">
        <f t="shared" si="2"/>
        <v>0</v>
      </c>
      <c r="O70" s="18"/>
      <c r="P70" s="93"/>
      <c r="Q70" s="9"/>
      <c r="R70" s="10"/>
      <c r="S70" s="94" t="s">
        <v>49</v>
      </c>
      <c r="T70" s="82"/>
    </row>
    <row r="71" ht="13" customHeight="1" spans="1:20" x14ac:dyDescent="0.25">
      <c r="A71" s="70"/>
      <c r="B71" s="36">
        <f t="shared" si="3"/>
        <v>8</v>
      </c>
      <c r="C71" s="47"/>
      <c r="D71" s="39"/>
      <c r="E71" s="42" t="s">
        <v>45</v>
      </c>
      <c r="F71" s="42" t="s">
        <v>45</v>
      </c>
      <c r="G71" s="42" t="s">
        <v>46</v>
      </c>
      <c r="H71" s="88" t="s">
        <v>47</v>
      </c>
      <c r="I71" s="10"/>
      <c r="J71" s="89" t="s">
        <v>48</v>
      </c>
      <c r="K71" s="90"/>
      <c r="L71" s="41"/>
      <c r="M71" s="91"/>
      <c r="N71" s="92">
        <f t="shared" si="2"/>
        <v>0</v>
      </c>
      <c r="O71" s="18"/>
      <c r="P71" s="93"/>
      <c r="Q71" s="9"/>
      <c r="R71" s="10"/>
      <c r="S71" s="94" t="s">
        <v>49</v>
      </c>
      <c r="T71" s="82"/>
    </row>
    <row r="72" ht="13" customHeight="1" spans="1:20" x14ac:dyDescent="0.25">
      <c r="A72" s="70"/>
      <c r="B72" s="36">
        <f t="shared" si="3"/>
        <v>9</v>
      </c>
      <c r="C72" s="47"/>
      <c r="D72" s="39"/>
      <c r="E72" s="42" t="s">
        <v>45</v>
      </c>
      <c r="F72" s="42" t="s">
        <v>45</v>
      </c>
      <c r="G72" s="42" t="s">
        <v>46</v>
      </c>
      <c r="H72" s="88" t="s">
        <v>47</v>
      </c>
      <c r="I72" s="10"/>
      <c r="J72" s="89" t="s">
        <v>48</v>
      </c>
      <c r="K72" s="90"/>
      <c r="L72" s="41"/>
      <c r="M72" s="91"/>
      <c r="N72" s="92">
        <f t="shared" si="2"/>
        <v>0</v>
      </c>
      <c r="O72" s="18"/>
      <c r="P72" s="93"/>
      <c r="Q72" s="9"/>
      <c r="R72" s="10"/>
      <c r="S72" s="94" t="s">
        <v>49</v>
      </c>
      <c r="T72" s="82"/>
    </row>
    <row r="73" ht="13" customHeight="1" spans="1:20" x14ac:dyDescent="0.25">
      <c r="A73" s="70"/>
      <c r="B73" s="36">
        <f t="shared" si="3"/>
        <v>10</v>
      </c>
      <c r="C73" s="47"/>
      <c r="D73" s="39"/>
      <c r="E73" s="42" t="s">
        <v>45</v>
      </c>
      <c r="F73" s="42" t="s">
        <v>45</v>
      </c>
      <c r="G73" s="42" t="s">
        <v>46</v>
      </c>
      <c r="H73" s="88" t="s">
        <v>47</v>
      </c>
      <c r="I73" s="10"/>
      <c r="J73" s="89" t="s">
        <v>48</v>
      </c>
      <c r="K73" s="90"/>
      <c r="L73" s="41"/>
      <c r="M73" s="91"/>
      <c r="N73" s="92">
        <f t="shared" si="2"/>
        <v>0</v>
      </c>
      <c r="O73" s="18"/>
      <c r="P73" s="93"/>
      <c r="Q73" s="9"/>
      <c r="R73" s="10"/>
      <c r="S73" s="94" t="s">
        <v>49</v>
      </c>
      <c r="T73" s="82"/>
    </row>
    <row r="74" ht="13" customHeight="1" spans="1:20" x14ac:dyDescent="0.25">
      <c r="A74" s="70"/>
      <c r="B74" s="36">
        <f t="shared" si="3"/>
        <v>11</v>
      </c>
      <c r="C74" s="47"/>
      <c r="D74" s="39"/>
      <c r="E74" s="42" t="s">
        <v>45</v>
      </c>
      <c r="F74" s="42" t="s">
        <v>45</v>
      </c>
      <c r="G74" s="42" t="s">
        <v>46</v>
      </c>
      <c r="H74" s="88" t="s">
        <v>47</v>
      </c>
      <c r="I74" s="10"/>
      <c r="J74" s="89" t="s">
        <v>48</v>
      </c>
      <c r="K74" s="90"/>
      <c r="L74" s="41"/>
      <c r="M74" s="91"/>
      <c r="N74" s="92">
        <f t="shared" si="2"/>
        <v>0</v>
      </c>
      <c r="O74" s="18"/>
      <c r="P74" s="93"/>
      <c r="Q74" s="9"/>
      <c r="R74" s="10"/>
      <c r="S74" s="94" t="s">
        <v>49</v>
      </c>
      <c r="T74" s="82"/>
    </row>
    <row r="75" ht="13" customHeight="1" spans="1:20" x14ac:dyDescent="0.25">
      <c r="A75" s="70"/>
      <c r="B75" s="36">
        <f t="shared" si="3"/>
        <v>12</v>
      </c>
      <c r="C75" s="47"/>
      <c r="D75" s="39"/>
      <c r="E75" s="42" t="s">
        <v>45</v>
      </c>
      <c r="F75" s="42" t="s">
        <v>45</v>
      </c>
      <c r="G75" s="42" t="s">
        <v>46</v>
      </c>
      <c r="H75" s="88" t="s">
        <v>47</v>
      </c>
      <c r="I75" s="10"/>
      <c r="J75" s="89" t="s">
        <v>48</v>
      </c>
      <c r="K75" s="90"/>
      <c r="L75" s="41"/>
      <c r="M75" s="91"/>
      <c r="N75" s="92">
        <f t="shared" si="2"/>
        <v>0</v>
      </c>
      <c r="O75" s="18"/>
      <c r="P75" s="93"/>
      <c r="Q75" s="9"/>
      <c r="R75" s="10"/>
      <c r="S75" s="94" t="s">
        <v>49</v>
      </c>
      <c r="T75" s="82"/>
    </row>
    <row r="76" ht="13" customHeight="1" spans="1:20" x14ac:dyDescent="0.25">
      <c r="A76" s="70"/>
      <c r="B76" s="36">
        <f t="shared" si="3"/>
        <v>13</v>
      </c>
      <c r="C76" s="47"/>
      <c r="D76" s="39"/>
      <c r="E76" s="44"/>
      <c r="F76" s="44"/>
      <c r="G76" s="42" t="s">
        <v>46</v>
      </c>
      <c r="H76" s="88" t="s">
        <v>50</v>
      </c>
      <c r="I76" s="10"/>
      <c r="J76" s="89" t="s">
        <v>28</v>
      </c>
      <c r="K76" s="90">
        <v>0</v>
      </c>
      <c r="L76" s="41" t="s">
        <v>51</v>
      </c>
      <c r="M76" s="91"/>
      <c r="N76" s="92"/>
      <c r="O76" s="18"/>
      <c r="P76" s="93"/>
      <c r="Q76" s="9"/>
      <c r="R76" s="10"/>
      <c r="S76" s="94" t="s">
        <v>28</v>
      </c>
      <c r="T76" s="82"/>
    </row>
    <row r="77" ht="13" customHeight="1" spans="1:20" x14ac:dyDescent="0.25">
      <c r="A77" s="70"/>
      <c r="B77" s="36">
        <f t="shared" si="3"/>
        <v>14</v>
      </c>
      <c r="C77" s="47"/>
      <c r="D77" s="39"/>
      <c r="E77" s="44"/>
      <c r="F77" s="44"/>
      <c r="G77" s="42" t="s">
        <v>46</v>
      </c>
      <c r="H77" s="88" t="s">
        <v>50</v>
      </c>
      <c r="I77" s="10"/>
      <c r="J77" s="89" t="s">
        <v>28</v>
      </c>
      <c r="K77" s="90">
        <v>0</v>
      </c>
      <c r="L77" s="41" t="s">
        <v>51</v>
      </c>
      <c r="M77" s="91"/>
      <c r="N77" s="92"/>
      <c r="O77" s="18"/>
      <c r="P77" s="93"/>
      <c r="Q77" s="9"/>
      <c r="R77" s="10"/>
      <c r="S77" s="94" t="s">
        <v>28</v>
      </c>
      <c r="T77" s="82"/>
    </row>
    <row r="78" ht="13" customHeight="1" spans="1:20" x14ac:dyDescent="0.25">
      <c r="A78" s="70"/>
      <c r="B78" s="36">
        <f t="shared" si="3"/>
        <v>15</v>
      </c>
      <c r="C78" s="47"/>
      <c r="D78" s="39"/>
      <c r="E78" s="44"/>
      <c r="F78" s="44"/>
      <c r="G78" s="42" t="s">
        <v>46</v>
      </c>
      <c r="H78" s="88" t="s">
        <v>50</v>
      </c>
      <c r="I78" s="10"/>
      <c r="J78" s="89" t="s">
        <v>28</v>
      </c>
      <c r="K78" s="90">
        <v>0</v>
      </c>
      <c r="L78" s="41" t="s">
        <v>51</v>
      </c>
      <c r="M78" s="91"/>
      <c r="N78" s="92"/>
      <c r="O78" s="18"/>
      <c r="P78" s="93"/>
      <c r="Q78" s="9"/>
      <c r="R78" s="10"/>
      <c r="S78" s="94" t="s">
        <v>28</v>
      </c>
      <c r="T78" s="82"/>
    </row>
    <row r="79" ht="13" customHeight="1" spans="1:20" x14ac:dyDescent="0.25">
      <c r="A79" s="70"/>
      <c r="B79" s="36">
        <f t="shared" si="3"/>
        <v>16</v>
      </c>
      <c r="C79" s="47"/>
      <c r="D79" s="39"/>
      <c r="E79" s="44"/>
      <c r="F79" s="44"/>
      <c r="G79" s="42" t="s">
        <v>46</v>
      </c>
      <c r="H79" s="88" t="s">
        <v>50</v>
      </c>
      <c r="I79" s="10"/>
      <c r="J79" s="89" t="s">
        <v>28</v>
      </c>
      <c r="K79" s="90">
        <v>0</v>
      </c>
      <c r="L79" s="41" t="s">
        <v>51</v>
      </c>
      <c r="M79" s="91"/>
      <c r="N79" s="92"/>
      <c r="O79" s="18"/>
      <c r="P79" s="93"/>
      <c r="Q79" s="9"/>
      <c r="R79" s="10"/>
      <c r="S79" s="94" t="s">
        <v>28</v>
      </c>
      <c r="T79" s="82"/>
    </row>
    <row r="80" ht="13" customHeight="1" spans="1:20" x14ac:dyDescent="0.25">
      <c r="A80" s="70"/>
      <c r="B80" s="36">
        <f t="shared" si="3"/>
        <v>17</v>
      </c>
      <c r="C80" s="47"/>
      <c r="D80" s="39"/>
      <c r="E80" s="44"/>
      <c r="F80" s="44"/>
      <c r="G80" s="42" t="s">
        <v>46</v>
      </c>
      <c r="H80" s="88" t="s">
        <v>50</v>
      </c>
      <c r="I80" s="10"/>
      <c r="J80" s="89" t="s">
        <v>28</v>
      </c>
      <c r="K80" s="90">
        <v>0</v>
      </c>
      <c r="L80" s="41" t="s">
        <v>51</v>
      </c>
      <c r="M80" s="91"/>
      <c r="N80" s="92"/>
      <c r="O80" s="18"/>
      <c r="P80" s="93"/>
      <c r="Q80" s="9"/>
      <c r="R80" s="10"/>
      <c r="S80" s="94" t="s">
        <v>28</v>
      </c>
      <c r="T80" s="82"/>
    </row>
    <row r="81" ht="13" customHeight="1" spans="1:20" x14ac:dyDescent="0.25">
      <c r="A81" s="70"/>
      <c r="B81" s="36">
        <f t="shared" si="3"/>
        <v>18</v>
      </c>
      <c r="C81" s="47"/>
      <c r="D81" s="39"/>
      <c r="E81" s="44"/>
      <c r="F81" s="44"/>
      <c r="G81" s="42" t="s">
        <v>46</v>
      </c>
      <c r="H81" s="88" t="s">
        <v>50</v>
      </c>
      <c r="I81" s="10"/>
      <c r="J81" s="89" t="s">
        <v>28</v>
      </c>
      <c r="K81" s="90">
        <v>0</v>
      </c>
      <c r="L81" s="41" t="s">
        <v>51</v>
      </c>
      <c r="M81" s="91"/>
      <c r="N81" s="92"/>
      <c r="O81" s="18"/>
      <c r="P81" s="93"/>
      <c r="Q81" s="9"/>
      <c r="R81" s="10"/>
      <c r="S81" s="94" t="s">
        <v>28</v>
      </c>
      <c r="T81" s="82"/>
    </row>
    <row r="82" ht="13" customHeight="1" spans="1:20" x14ac:dyDescent="0.25">
      <c r="A82" s="70"/>
      <c r="B82" s="36">
        <f t="shared" si="3"/>
        <v>19</v>
      </c>
      <c r="C82" s="47"/>
      <c r="D82" s="39"/>
      <c r="E82" s="44"/>
      <c r="F82" s="44"/>
      <c r="G82" s="42" t="s">
        <v>46</v>
      </c>
      <c r="H82" s="88" t="s">
        <v>50</v>
      </c>
      <c r="I82" s="10"/>
      <c r="J82" s="89" t="s">
        <v>28</v>
      </c>
      <c r="K82" s="90">
        <v>0</v>
      </c>
      <c r="L82" s="41" t="s">
        <v>51</v>
      </c>
      <c r="M82" s="91"/>
      <c r="N82" s="92"/>
      <c r="O82" s="18"/>
      <c r="P82" s="93"/>
      <c r="Q82" s="9"/>
      <c r="R82" s="10"/>
      <c r="S82" s="94" t="s">
        <v>28</v>
      </c>
      <c r="T82" s="82"/>
    </row>
    <row r="83" ht="13" customHeight="1" spans="1:20" x14ac:dyDescent="0.25">
      <c r="A83" s="70"/>
      <c r="B83" s="36">
        <f t="shared" si="3"/>
        <v>20</v>
      </c>
      <c r="C83" s="47"/>
      <c r="D83" s="39"/>
      <c r="E83" s="44"/>
      <c r="F83" s="44"/>
      <c r="G83" s="42" t="s">
        <v>46</v>
      </c>
      <c r="H83" s="88" t="s">
        <v>50</v>
      </c>
      <c r="I83" s="10"/>
      <c r="J83" s="89" t="s">
        <v>28</v>
      </c>
      <c r="K83" s="90">
        <v>0</v>
      </c>
      <c r="L83" s="41" t="s">
        <v>51</v>
      </c>
      <c r="M83" s="91"/>
      <c r="N83" s="92"/>
      <c r="O83" s="18"/>
      <c r="P83" s="93"/>
      <c r="Q83" s="9"/>
      <c r="R83" s="10"/>
      <c r="S83" s="94" t="s">
        <v>28</v>
      </c>
      <c r="T83" s="82"/>
    </row>
    <row r="84" ht="13" customHeight="1" spans="1:20" x14ac:dyDescent="0.25">
      <c r="A84" s="70"/>
      <c r="B84" s="36">
        <f t="shared" si="3"/>
        <v>21</v>
      </c>
      <c r="C84" s="47"/>
      <c r="D84" s="39"/>
      <c r="E84" s="44"/>
      <c r="F84" s="44"/>
      <c r="G84" s="42" t="s">
        <v>46</v>
      </c>
      <c r="H84" s="88" t="s">
        <v>50</v>
      </c>
      <c r="I84" s="10"/>
      <c r="J84" s="89" t="s">
        <v>28</v>
      </c>
      <c r="K84" s="90">
        <v>0</v>
      </c>
      <c r="L84" s="41" t="s">
        <v>51</v>
      </c>
      <c r="M84" s="91"/>
      <c r="N84" s="92"/>
      <c r="O84" s="18"/>
      <c r="P84" s="93"/>
      <c r="Q84" s="9"/>
      <c r="R84" s="10"/>
      <c r="S84" s="94" t="s">
        <v>28</v>
      </c>
      <c r="T84" s="82"/>
    </row>
    <row r="85" ht="13" customHeight="1" spans="1:20" x14ac:dyDescent="0.25">
      <c r="A85" s="11"/>
      <c r="B85" s="53"/>
      <c r="C85" s="54"/>
      <c r="D85" s="55"/>
      <c r="E85" s="3"/>
      <c r="F85" s="2"/>
      <c r="G85" s="2"/>
      <c r="H85" s="4"/>
      <c r="I85" s="4"/>
      <c r="J85" s="5"/>
      <c r="K85" s="4"/>
      <c r="L85" s="5"/>
      <c r="M85" s="2"/>
      <c r="N85" s="4"/>
      <c r="O85" s="3"/>
      <c r="P85" s="2"/>
      <c r="Q85" s="6"/>
      <c r="R85" s="2"/>
      <c r="S85" s="2"/>
      <c r="T85" s="53"/>
    </row>
    <row r="86" ht="13" customHeight="1" spans="1:20" x14ac:dyDescent="0.25">
      <c r="A86" s="95"/>
      <c r="B86" s="56" t="s">
        <v>52</v>
      </c>
      <c r="C86" s="9"/>
      <c r="D86" s="9"/>
      <c r="E86" s="9"/>
      <c r="F86" s="9"/>
      <c r="G86" s="9"/>
      <c r="H86" s="9"/>
      <c r="I86" s="9"/>
      <c r="J86" s="9"/>
      <c r="K86" s="9"/>
      <c r="L86" s="9"/>
      <c r="M86" s="9"/>
      <c r="N86" s="9"/>
      <c r="O86" s="9"/>
      <c r="P86" s="9"/>
      <c r="Q86" s="9"/>
      <c r="R86" s="9"/>
      <c r="S86" s="10"/>
      <c r="T86" s="53"/>
    </row>
  </sheetData>
  <mergeCells count="107">
    <mergeCell ref="B2:S2"/>
    <mergeCell ref="B4:D4"/>
    <mergeCell ref="K4:L4"/>
    <mergeCell ref="O4:Q4"/>
    <mergeCell ref="B6:D6"/>
    <mergeCell ref="E6:L6"/>
    <mergeCell ref="M6:S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B37:S37"/>
    <mergeCell ref="B39:D39"/>
    <mergeCell ref="K39:L39"/>
    <mergeCell ref="O39:Q39"/>
    <mergeCell ref="B41:D41"/>
    <mergeCell ref="E41:L41"/>
    <mergeCell ref="M41:S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B57:S57"/>
    <mergeCell ref="B59:C60"/>
    <mergeCell ref="B62:M62"/>
    <mergeCell ref="N62:S62"/>
    <mergeCell ref="H63:I63"/>
    <mergeCell ref="P63:R63"/>
    <mergeCell ref="H64:I64"/>
    <mergeCell ref="P64:R64"/>
    <mergeCell ref="H65:I65"/>
    <mergeCell ref="P65:R65"/>
    <mergeCell ref="H66:I66"/>
    <mergeCell ref="P66:R66"/>
    <mergeCell ref="H67:I67"/>
    <mergeCell ref="P67:R67"/>
    <mergeCell ref="H68:I68"/>
    <mergeCell ref="P68:R68"/>
    <mergeCell ref="H69:I69"/>
    <mergeCell ref="P69:R69"/>
    <mergeCell ref="H70:I70"/>
    <mergeCell ref="P70:R70"/>
    <mergeCell ref="H71:I71"/>
    <mergeCell ref="P71:R71"/>
    <mergeCell ref="H72:I72"/>
    <mergeCell ref="P72:R72"/>
    <mergeCell ref="H73:I73"/>
    <mergeCell ref="P73:R73"/>
    <mergeCell ref="H74:I74"/>
    <mergeCell ref="P74:R74"/>
    <mergeCell ref="H75:I75"/>
    <mergeCell ref="P75:R75"/>
    <mergeCell ref="H76:I76"/>
    <mergeCell ref="P76:R76"/>
    <mergeCell ref="H77:I77"/>
    <mergeCell ref="P77:R77"/>
    <mergeCell ref="H78:I78"/>
    <mergeCell ref="P78:R78"/>
    <mergeCell ref="H79:I79"/>
    <mergeCell ref="P79:R79"/>
    <mergeCell ref="H80:I80"/>
    <mergeCell ref="P80:R80"/>
    <mergeCell ref="H81:I81"/>
    <mergeCell ref="P81:R81"/>
    <mergeCell ref="H82:I82"/>
    <mergeCell ref="P82:R82"/>
    <mergeCell ref="H83:I83"/>
    <mergeCell ref="P83:R83"/>
    <mergeCell ref="H84:I84"/>
    <mergeCell ref="P84:R84"/>
    <mergeCell ref="B86:S86"/>
  </mergeCells>
  <conditionalFormatting sqref="E64:J84">
    <cfRule type="cellIs" dxfId="0" priority="1" operator="equal">
      <formula>"Sin efecto"</formula>
    </cfRule>
  </conditionalFormatting>
  <conditionalFormatting sqref="M4 M39">
    <cfRule type="cellIs" dxfId="1" priority="12" operator="equal">
      <formula>"Correcto"</formula>
    </cfRule>
    <cfRule type="cellIs" dxfId="2" priority="13" operator="equal">
      <formula>"Revisar"</formula>
    </cfRule>
  </conditionalFormatting>
  <conditionalFormatting sqref="M8:M35 S8:S35 M39 M41:M55 S43:S55 E64:J84 S64:S84 P65:P84 R65:R84">
    <cfRule type="cellIs" dxfId="3" priority="14" operator="equal">
      <formula>"Aprobado"</formula>
    </cfRule>
    <cfRule type="cellIs" dxfId="4" priority="15" operator="equal">
      <formula>"Aprobado parcial."</formula>
    </cfRule>
    <cfRule type="cellIs" dxfId="5" priority="16" operator="equal">
      <formula>"Rechazado"</formula>
    </cfRule>
    <cfRule type="cellIs" dxfId="6" priority="17" operator="equal">
      <formula>"Pendiente"</formula>
    </cfRule>
  </conditionalFormatting>
  <conditionalFormatting sqref="M8:S35 M39 M41:S55 E63:F84 O63:S84 G64:J84 O39:R39 N63">
    <cfRule type="containsBlanks" dxfId="7" priority="19" operator="containsBlanks">
      <formula>LEN(TRIM(M8))=0</formula>
    </cfRule>
  </conditionalFormatting>
  <conditionalFormatting sqref="S8:S35 S43:S55 S64:S84 P65:P84 R65:R84">
    <cfRule type="cellIs" dxfId="8" priority="2" operator="equal">
      <formula>"Sin efecto"</formula>
    </cfRule>
    <cfRule type="cellIs" dxfId="9" priority="3" operator="equal">
      <formula>"Vigente"</formula>
    </cfRule>
    <cfRule type="cellIs" dxfId="10" priority="4" operator="equal">
      <formula>"Renuncia"</formula>
    </cfRule>
    <cfRule type="cellIs" dxfId="11" priority="5" operator="equal">
      <formula>"Renuncia parcial"</formula>
    </cfRule>
    <cfRule type="cellIs" dxfId="12" priority="6" operator="equal">
      <formula>"Reubicación"</formula>
    </cfRule>
    <cfRule type="cellIs" dxfId="13" priority="7" operator="equal">
      <formula>"Cese"</formula>
    </cfRule>
    <cfRule type="cellIs" dxfId="14" priority="8" operator="equal">
      <formula>"Defunción"</formula>
    </cfRule>
    <cfRule type="cellIs" dxfId="15" priority="9" operator="equal">
      <formula>"Cambio fondo"</formula>
    </cfRule>
    <cfRule type="cellIs" dxfId="16" priority="10" operator="equal">
      <formula>"No asume"</formula>
    </cfRule>
    <cfRule type="cellIs" dxfId="17" priority="20" operator="equal">
      <formula>"Fallecido/a"</formula>
    </cfRule>
    <cfRule type="cellIs" dxfId="18" priority="21" operator="equal">
      <formula>"Destinación"</formula>
    </cfRule>
  </conditionalFormatting>
  <dataValidations count="18">
    <dataValidation type="list" allowBlank="1" showErrorMessage="1" sqref="E10:E35">
      <formula1>"Docente Diferencial,Coeducador/a Sordo/a,Fonoaudiólogo/a,Intérprete LSCH,Kinesiólogo/a,Monitor/a,Psicólogo/a,Psicomotricidad,Técnico Diferencial,Terapeuta Ocupacional,Trabajador/a Social"</formula1>
    </dataValidation>
    <dataValidation type="list" allowBlank="1" showErrorMessage="1" sqref="E43:E55">
      <formula1>"Docente Diferencial,Coeducador/a Sordo/a,Fonoaudiólogo/a,Intérprete LSCH,Kinesiólogo/a,Monitor/a,Psicólogo/a,Psicomotricidad,Técnico Diferencial,Terapeuta Ocupacional,Trabajador/a Social"</formula1>
    </dataValidation>
    <dataValidation type="list" allowBlank="1" showErrorMessage="1" sqref="E8:E35">
      <formula1>"Docente Diferencial,Coeducador/a Sordo/a,Fonoaudiólogo/a,Intérprete LSCH,Kinesiólogo/a,Monitor/a,Psicólogo/a,Psicomotricidad,Técnico Diferencial,Terapeuta Ocupacional,Trabajador/a Social"</formula1>
    </dataValidation>
    <dataValidation type="list" allowBlank="1" showErrorMessage="1" sqref="G10:G35">
      <formula1>"Titular/Indefinido,Contrata/Plazo Fijo,Contrata/Fuero"</formula1>
    </dataValidation>
    <dataValidation type="list" allowBlank="1" showErrorMessage="1" sqref="G43:G55">
      <formula1>"Titular/Indefinido,Contrata/Plazo Fijo,Contrata/Fuero"</formula1>
    </dataValidation>
    <dataValidation type="list" allowBlank="1" showErrorMessage="1" sqref="G8:G35">
      <formula1>"Titular/Indefinido,Contrata/Plazo Fijo,Contrata/Fuero"</formula1>
    </dataValidation>
    <dataValidation type="list" allowBlank="1" sqref="J10:J35">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J43:J55">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J64:J84">
      <formula1>"Aprobado,Aprobado parcial.,Rechazado,Pendiente,Sin efecto"</formula1>
    </dataValidation>
    <dataValidation type="list" allowBlank="1" sqref="J8:J35">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M10:M35">
      <formula1>"Aprobado,Aprobado parcial.,Rechazado,Pendiente"</formula1>
    </dataValidation>
    <dataValidation type="list" allowBlank="1" sqref="M43:M55">
      <formula1>"Aprobado,Aprobado parcial.,Rechazado,Pendiente"</formula1>
    </dataValidation>
    <dataValidation type="list" allowBlank="1" sqref="M64:M84">
      <formula1>"Básica,Media,Bás - Med"</formula1>
    </dataValidation>
    <dataValidation type="list" allowBlank="1" sqref="M8:M35">
      <formula1>"Aprobado,Aprobado parcial.,Rechazado,Pendiente"</formula1>
    </dataValidation>
    <dataValidation type="list" allowBlank="1" sqref="S10:S35">
      <formula1>"Vigente,Renuncia,Pendiente,Cese,Defunción,Renuncia parcial,Cambio fondo,No asume,Sin efecto,Fallecido/a,Destinación"</formula1>
    </dataValidation>
    <dataValidation type="list" allowBlank="1" sqref="S43:S55">
      <formula1>"Vigente,Renuncia,Pendiente,Cese,Defunción,Renuncia parcial,Cambio fondo,No asume,Sin efecto,Fallecido/a,Destinación"</formula1>
    </dataValidation>
    <dataValidation type="list" allowBlank="1" sqref="S64:S84">
      <formula1>"Vigente,Renuncia,Pendiente,Cese,Defunción,Renuncia parcial,Cambio fondo,No asume,Sin efecto,Fallecido/a,Destinación"</formula1>
    </dataValidation>
    <dataValidation type="list" allowBlank="1" sqref="S8:S35">
      <formula1>"Vigente,Renuncia,Pendiente,Cese,Defunción,Renuncia parcial,Cambio fondo,No asume,Sin efecto,Fallecido/a,Destinación"</formula1>
    </dataValidation>
  </dataValidation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C232"/>
    <outlinePr summaryBelow="0" summaryRight="0"/>
  </sheetPr>
  <dimension ref="A1:Y39"/>
  <sheetViews>
    <sheetView workbookViewId="0" zoomScale="100" zoomScaleNormal="100">
      <pane xSplit="4" ySplit="2" topLeftCell="E3" activePane="bottomRight" state="frozen"/>
      <selection pane="bottomRight" activeCell="E3" sqref="E3"/>
    </sheetView>
  </sheetViews>
  <sheetFormatPr defaultRowHeight="15" outlineLevelRow="0" outlineLevelCol="0" x14ac:dyDescent="0.3" defaultColWidth="14.3984375"/>
  <cols>
    <col min="1" max="1" width="3.296875" customWidth="1"/>
    <col min="2" max="2" width="5.09765625" customWidth="1"/>
    <col min="3" max="3" width="23" customWidth="1"/>
    <col min="4" max="4" width="11.8984375" customWidth="1"/>
    <col min="5" max="5" width="20.09765625" customWidth="1"/>
    <col min="6" max="6" width="13.09765625" customWidth="1"/>
    <col min="7" max="7" width="17.09765625" customWidth="1"/>
    <col min="8" max="8" width="10.296875" customWidth="1"/>
    <col min="9" max="9" width="6" customWidth="1"/>
    <col min="10" max="10" width="8.296875" customWidth="1"/>
    <col min="11" max="11" width="6.8984375" customWidth="1"/>
    <col min="12" max="12" width="13" customWidth="1"/>
    <col min="13" max="13" width="8.69921875" customWidth="1"/>
    <col min="14" max="14" width="8.296875" customWidth="1"/>
    <col min="15" max="15" width="13.8984375" customWidth="1"/>
    <col min="16" max="16" width="17" customWidth="1"/>
    <col min="17" max="17" width="16.8984375" customWidth="1"/>
    <col min="18" max="18" width="12.09765625" customWidth="1"/>
    <col min="20" max="20" width="20.296875" customWidth="1"/>
    <col min="21" max="21" width="6.8984375" customWidth="1"/>
    <col min="22" max="23" width="9.69921875" customWidth="1"/>
    <col min="24" max="24" width="12.69921875" customWidth="1"/>
    <col min="25" max="25" width="4.09765625" customWidth="1"/>
  </cols>
  <sheetData>
    <row r="1" ht="9.75" customHeight="1" spans="1:25" x14ac:dyDescent="0.25">
      <c r="A1" s="1"/>
      <c r="B1" s="74"/>
      <c r="C1" s="96"/>
      <c r="D1" s="97"/>
      <c r="E1" s="97"/>
      <c r="F1" s="97"/>
      <c r="G1" s="97"/>
      <c r="H1" s="97"/>
      <c r="I1" s="97"/>
      <c r="J1" s="97"/>
      <c r="K1" s="97"/>
      <c r="L1" s="98"/>
      <c r="M1" s="97"/>
      <c r="N1" s="97"/>
      <c r="O1" s="97"/>
      <c r="P1" s="97"/>
      <c r="Q1" s="98"/>
      <c r="R1" s="99"/>
      <c r="S1" s="100"/>
      <c r="T1" s="101"/>
      <c r="U1" s="102"/>
      <c r="V1" s="100"/>
      <c r="W1" s="100"/>
      <c r="X1" s="101"/>
      <c r="Y1" s="1"/>
    </row>
    <row r="2" ht="15" customHeight="1" spans="1:25" x14ac:dyDescent="0.25">
      <c r="A2" s="7"/>
      <c r="B2" s="103"/>
      <c r="C2" s="9"/>
      <c r="D2" s="9"/>
      <c r="E2" s="104" t="s">
        <v>53</v>
      </c>
      <c r="F2" s="9"/>
      <c r="G2" s="9"/>
      <c r="H2" s="9"/>
      <c r="I2" s="9"/>
      <c r="J2" s="9"/>
      <c r="K2" s="9"/>
      <c r="L2" s="9"/>
      <c r="M2" s="9"/>
      <c r="N2" s="9"/>
      <c r="O2" s="9"/>
      <c r="P2" s="9"/>
      <c r="Q2" s="9"/>
      <c r="R2" s="9"/>
      <c r="S2" s="9"/>
      <c r="T2" s="9"/>
      <c r="U2" s="9"/>
      <c r="V2" s="9"/>
      <c r="W2" s="9"/>
      <c r="X2" s="9"/>
      <c r="Y2" s="11"/>
    </row>
    <row r="3" ht="13" customHeight="1" spans="1:25" x14ac:dyDescent="0.25">
      <c r="A3" s="1"/>
      <c r="B3" s="2"/>
      <c r="C3" s="3"/>
      <c r="D3" s="4"/>
      <c r="E3" s="57"/>
      <c r="F3" s="2"/>
      <c r="G3" s="2"/>
      <c r="H3" s="4"/>
      <c r="I3" s="4"/>
      <c r="J3" s="4"/>
      <c r="K3" s="57"/>
      <c r="L3" s="68"/>
      <c r="M3" s="2"/>
      <c r="N3" s="2"/>
      <c r="O3" s="2"/>
      <c r="P3" s="6"/>
      <c r="Q3" s="105"/>
      <c r="R3" s="97"/>
      <c r="S3" s="67"/>
      <c r="T3" s="3"/>
      <c r="U3" s="2"/>
      <c r="V3" s="67"/>
      <c r="W3" s="67"/>
      <c r="X3" s="58"/>
      <c r="Y3" s="1"/>
    </row>
    <row r="4" ht="21.75" customHeight="1" spans="1:25" x14ac:dyDescent="0.25">
      <c r="A4" s="7"/>
      <c r="B4" s="106" t="s">
        <v>54</v>
      </c>
      <c r="C4" s="107"/>
      <c r="D4" s="108"/>
      <c r="E4" s="23"/>
      <c r="F4" s="109">
        <v>2025</v>
      </c>
      <c r="G4" s="110" t="s">
        <v>55</v>
      </c>
      <c r="H4" s="107"/>
      <c r="I4" s="111">
        <f>SUM(I9:I38)</f>
        <v>0</v>
      </c>
      <c r="J4" s="112"/>
      <c r="K4" s="64"/>
      <c r="L4" s="20"/>
      <c r="M4" s="113" t="s">
        <v>56</v>
      </c>
      <c r="N4" s="114"/>
      <c r="O4" s="115" t="s">
        <v>57</v>
      </c>
      <c r="P4" s="116">
        <f>SUM(M9:M38)</f>
        <v>0</v>
      </c>
      <c r="Q4" s="117" t="s">
        <v>58</v>
      </c>
      <c r="R4" s="118" t="e">
        <f>P5/D4</f>
        <v>#DIV/0!</v>
      </c>
      <c r="S4" s="23"/>
      <c r="T4" s="117" t="s">
        <v>59</v>
      </c>
      <c r="U4" s="119">
        <f>SUM(S9:S38)</f>
        <v>0</v>
      </c>
      <c r="V4" s="120"/>
      <c r="W4" s="64"/>
      <c r="X4" s="75"/>
      <c r="Y4" s="1"/>
    </row>
    <row r="5" ht="21.75" customHeight="1" spans="1:25" x14ac:dyDescent="0.25">
      <c r="A5" s="7"/>
      <c r="B5" s="121" t="s">
        <v>60</v>
      </c>
      <c r="C5" s="122"/>
      <c r="D5" s="123" t="e">
        <f>I5/D4</f>
        <v>#DIV/0!</v>
      </c>
      <c r="E5" s="23"/>
      <c r="F5" s="124"/>
      <c r="G5" s="125" t="s">
        <v>61</v>
      </c>
      <c r="H5" s="122"/>
      <c r="I5" s="126">
        <f>SUM(J9:J38)</f>
        <v>0</v>
      </c>
      <c r="J5" s="127"/>
      <c r="K5" s="64"/>
      <c r="L5" s="20"/>
      <c r="M5" s="79"/>
      <c r="N5" s="128"/>
      <c r="O5" s="129" t="s">
        <v>62</v>
      </c>
      <c r="P5" s="130">
        <f>SUM(N9:N38)</f>
        <v>0</v>
      </c>
      <c r="Q5" s="79"/>
      <c r="R5" s="131"/>
      <c r="S5" s="23"/>
      <c r="T5" s="79"/>
      <c r="U5" s="131"/>
      <c r="V5" s="120"/>
      <c r="W5" s="64"/>
      <c r="X5" s="75"/>
      <c r="Y5" s="1"/>
    </row>
    <row r="6" ht="13" customHeight="1" spans="1:25" x14ac:dyDescent="0.25">
      <c r="A6" s="1"/>
      <c r="B6" s="2"/>
      <c r="C6" s="3"/>
      <c r="D6" s="2"/>
      <c r="E6" s="53"/>
      <c r="F6" s="2"/>
      <c r="G6" s="2"/>
      <c r="H6" s="2"/>
      <c r="I6" s="2"/>
      <c r="J6" s="4"/>
      <c r="K6" s="53"/>
      <c r="L6" s="25"/>
      <c r="M6" s="2"/>
      <c r="N6" s="2"/>
      <c r="O6" s="2"/>
      <c r="P6" s="2"/>
      <c r="Q6" s="105"/>
      <c r="R6" s="2"/>
      <c r="S6" s="55"/>
      <c r="T6" s="3"/>
      <c r="U6" s="2"/>
      <c r="V6" s="55"/>
      <c r="W6" s="55"/>
      <c r="X6" s="54"/>
      <c r="Y6" s="1"/>
    </row>
    <row r="7" ht="13" customHeight="1" spans="1:25" x14ac:dyDescent="0.25">
      <c r="A7" s="7"/>
      <c r="B7" s="132" t="s">
        <v>63</v>
      </c>
      <c r="C7" s="27"/>
      <c r="D7" s="27"/>
      <c r="E7" s="132" t="s">
        <v>8</v>
      </c>
      <c r="F7" s="27"/>
      <c r="G7" s="27"/>
      <c r="H7" s="27"/>
      <c r="I7" s="27"/>
      <c r="J7" s="27"/>
      <c r="K7" s="27"/>
      <c r="L7" s="27"/>
      <c r="M7" s="27"/>
      <c r="N7" s="27"/>
      <c r="O7" s="27"/>
      <c r="P7" s="27"/>
      <c r="Q7" s="133"/>
      <c r="R7" s="134" t="s">
        <v>9</v>
      </c>
      <c r="S7" s="9"/>
      <c r="T7" s="9"/>
      <c r="U7" s="9"/>
      <c r="V7" s="9"/>
      <c r="W7" s="9"/>
      <c r="X7" s="10"/>
      <c r="Y7" s="1"/>
    </row>
    <row r="8" ht="20" customHeight="1" spans="1:25" x14ac:dyDescent="0.25">
      <c r="A8" s="7"/>
      <c r="B8" s="31" t="s">
        <v>10</v>
      </c>
      <c r="C8" s="31" t="s">
        <v>11</v>
      </c>
      <c r="D8" s="31" t="s">
        <v>12</v>
      </c>
      <c r="E8" s="31" t="s">
        <v>64</v>
      </c>
      <c r="F8" s="31" t="s">
        <v>65</v>
      </c>
      <c r="G8" s="31" t="s">
        <v>14</v>
      </c>
      <c r="H8" s="31" t="s">
        <v>15</v>
      </c>
      <c r="I8" s="31" t="s">
        <v>16</v>
      </c>
      <c r="J8" s="31" t="s">
        <v>66</v>
      </c>
      <c r="K8" s="135" t="s">
        <v>67</v>
      </c>
      <c r="L8" s="31" t="s">
        <v>17</v>
      </c>
      <c r="M8" s="31" t="s">
        <v>18</v>
      </c>
      <c r="N8" s="31" t="s">
        <v>66</v>
      </c>
      <c r="O8" s="31" t="s">
        <v>68</v>
      </c>
      <c r="P8" s="31" t="s">
        <v>69</v>
      </c>
      <c r="Q8" s="31" t="s">
        <v>70</v>
      </c>
      <c r="R8" s="33" t="s">
        <v>20</v>
      </c>
      <c r="S8" s="34" t="s">
        <v>21</v>
      </c>
      <c r="T8" s="34" t="s">
        <v>22</v>
      </c>
      <c r="U8" s="35" t="s">
        <v>23</v>
      </c>
      <c r="V8" s="33" t="s">
        <v>24</v>
      </c>
      <c r="W8" s="33" t="s">
        <v>25</v>
      </c>
      <c r="X8" s="34" t="s">
        <v>26</v>
      </c>
      <c r="Y8" s="1"/>
    </row>
    <row r="9" ht="13" customHeight="1" spans="1:25" x14ac:dyDescent="0.25">
      <c r="A9" s="7"/>
      <c r="B9" s="36">
        <v>1</v>
      </c>
      <c r="C9" s="47"/>
      <c r="D9" s="39"/>
      <c r="E9" s="39"/>
      <c r="F9" s="39"/>
      <c r="G9" s="39"/>
      <c r="H9" s="46"/>
      <c r="I9" s="36"/>
      <c r="J9" s="39"/>
      <c r="K9" s="136" t="e">
        <f t="shared" ref="K9:K33" si="0">(J9/I9)</f>
        <v>#DIV/0!</v>
      </c>
      <c r="L9" s="137"/>
      <c r="M9" s="36"/>
      <c r="N9" s="138">
        <f t="shared" ref="N9:N33" si="1">IFERROR((M9*K9),0)</f>
        <v>0</v>
      </c>
      <c r="O9" s="139"/>
      <c r="P9" s="139"/>
      <c r="Q9" s="41"/>
      <c r="R9" s="43" t="s">
        <v>28</v>
      </c>
      <c r="S9" s="42"/>
      <c r="T9" s="43"/>
      <c r="U9" s="42"/>
      <c r="V9" s="44"/>
      <c r="W9" s="44"/>
      <c r="X9" s="45"/>
      <c r="Y9" s="1"/>
    </row>
    <row r="10" ht="13" customHeight="1" spans="1:25" x14ac:dyDescent="0.25">
      <c r="A10" s="7"/>
      <c r="B10" s="36">
        <f t="shared" ref="B10:B33" si="2">B9+1</f>
        <v>2</v>
      </c>
      <c r="C10" s="47"/>
      <c r="D10" s="39"/>
      <c r="E10" s="39"/>
      <c r="F10" s="39"/>
      <c r="G10" s="39"/>
      <c r="H10" s="46"/>
      <c r="I10" s="36"/>
      <c r="J10" s="39"/>
      <c r="K10" s="136" t="e">
        <f t="shared" si="0"/>
        <v>#DIV/0!</v>
      </c>
      <c r="L10" s="137"/>
      <c r="M10" s="36"/>
      <c r="N10" s="138">
        <f t="shared" si="1"/>
        <v>0</v>
      </c>
      <c r="O10" s="139"/>
      <c r="P10" s="139"/>
      <c r="Q10" s="41"/>
      <c r="R10" s="43" t="s">
        <v>28</v>
      </c>
      <c r="S10" s="42"/>
      <c r="T10" s="43"/>
      <c r="U10" s="42"/>
      <c r="V10" s="44"/>
      <c r="W10" s="44"/>
      <c r="X10" s="45"/>
      <c r="Y10" s="1"/>
    </row>
    <row r="11" ht="13" customHeight="1" spans="1:25" x14ac:dyDescent="0.25">
      <c r="A11" s="7"/>
      <c r="B11" s="36">
        <f t="shared" si="2"/>
        <v>3</v>
      </c>
      <c r="C11" s="47"/>
      <c r="D11" s="39"/>
      <c r="E11" s="39"/>
      <c r="F11" s="39"/>
      <c r="G11" s="39"/>
      <c r="H11" s="46"/>
      <c r="I11" s="36"/>
      <c r="J11" s="39"/>
      <c r="K11" s="136" t="e">
        <f t="shared" si="0"/>
        <v>#DIV/0!</v>
      </c>
      <c r="L11" s="137"/>
      <c r="M11" s="36"/>
      <c r="N11" s="138">
        <f t="shared" si="1"/>
        <v>0</v>
      </c>
      <c r="O11" s="139"/>
      <c r="P11" s="139"/>
      <c r="Q11" s="41"/>
      <c r="R11" s="43" t="s">
        <v>28</v>
      </c>
      <c r="S11" s="42"/>
      <c r="T11" s="43"/>
      <c r="U11" s="42"/>
      <c r="V11" s="44"/>
      <c r="W11" s="44"/>
      <c r="X11" s="45"/>
      <c r="Y11" s="1"/>
    </row>
    <row r="12" ht="13" customHeight="1" spans="1:25" x14ac:dyDescent="0.25">
      <c r="A12" s="7"/>
      <c r="B12" s="36">
        <f t="shared" si="2"/>
        <v>4</v>
      </c>
      <c r="C12" s="47"/>
      <c r="D12" s="39"/>
      <c r="E12" s="39"/>
      <c r="F12" s="39"/>
      <c r="G12" s="39"/>
      <c r="H12" s="46"/>
      <c r="I12" s="36"/>
      <c r="J12" s="39"/>
      <c r="K12" s="136" t="e">
        <f t="shared" si="0"/>
        <v>#DIV/0!</v>
      </c>
      <c r="L12" s="137"/>
      <c r="M12" s="36"/>
      <c r="N12" s="138">
        <f t="shared" si="1"/>
        <v>0</v>
      </c>
      <c r="O12" s="139"/>
      <c r="P12" s="139"/>
      <c r="Q12" s="41"/>
      <c r="R12" s="43" t="s">
        <v>28</v>
      </c>
      <c r="S12" s="42"/>
      <c r="T12" s="43"/>
      <c r="U12" s="42"/>
      <c r="V12" s="44"/>
      <c r="W12" s="44"/>
      <c r="X12" s="45"/>
      <c r="Y12" s="1"/>
    </row>
    <row r="13" ht="13" customHeight="1" spans="1:25" x14ac:dyDescent="0.25">
      <c r="A13" s="7"/>
      <c r="B13" s="36">
        <f t="shared" si="2"/>
        <v>5</v>
      </c>
      <c r="C13" s="47"/>
      <c r="D13" s="39"/>
      <c r="E13" s="39"/>
      <c r="F13" s="39"/>
      <c r="G13" s="39"/>
      <c r="H13" s="46"/>
      <c r="I13" s="36"/>
      <c r="J13" s="39"/>
      <c r="K13" s="136" t="e">
        <f t="shared" si="0"/>
        <v>#DIV/0!</v>
      </c>
      <c r="L13" s="137"/>
      <c r="M13" s="36"/>
      <c r="N13" s="138">
        <f t="shared" si="1"/>
        <v>0</v>
      </c>
      <c r="O13" s="139"/>
      <c r="P13" s="139"/>
      <c r="Q13" s="41"/>
      <c r="R13" s="43" t="s">
        <v>28</v>
      </c>
      <c r="S13" s="42"/>
      <c r="T13" s="43"/>
      <c r="U13" s="42"/>
      <c r="V13" s="44"/>
      <c r="W13" s="44"/>
      <c r="X13" s="45"/>
      <c r="Y13" s="1"/>
    </row>
    <row r="14" ht="13" customHeight="1" spans="1:25" x14ac:dyDescent="0.25">
      <c r="A14" s="7"/>
      <c r="B14" s="36">
        <f t="shared" si="2"/>
        <v>6</v>
      </c>
      <c r="C14" s="47"/>
      <c r="D14" s="39"/>
      <c r="E14" s="39"/>
      <c r="F14" s="39"/>
      <c r="G14" s="39"/>
      <c r="H14" s="46"/>
      <c r="I14" s="36"/>
      <c r="J14" s="39"/>
      <c r="K14" s="136" t="e">
        <f t="shared" si="0"/>
        <v>#DIV/0!</v>
      </c>
      <c r="L14" s="137"/>
      <c r="M14" s="36"/>
      <c r="N14" s="138">
        <f t="shared" si="1"/>
        <v>0</v>
      </c>
      <c r="O14" s="139"/>
      <c r="P14" s="139"/>
      <c r="Q14" s="41"/>
      <c r="R14" s="43" t="s">
        <v>28</v>
      </c>
      <c r="S14" s="42"/>
      <c r="T14" s="43"/>
      <c r="U14" s="42"/>
      <c r="V14" s="44"/>
      <c r="W14" s="44"/>
      <c r="X14" s="45"/>
      <c r="Y14" s="1"/>
    </row>
    <row r="15" ht="13" customHeight="1" spans="1:25" x14ac:dyDescent="0.25">
      <c r="A15" s="7"/>
      <c r="B15" s="36">
        <f t="shared" si="2"/>
        <v>7</v>
      </c>
      <c r="C15" s="47"/>
      <c r="D15" s="39"/>
      <c r="E15" s="39"/>
      <c r="F15" s="39"/>
      <c r="G15" s="39"/>
      <c r="H15" s="46"/>
      <c r="I15" s="36"/>
      <c r="J15" s="39"/>
      <c r="K15" s="136" t="e">
        <f t="shared" si="0"/>
        <v>#DIV/0!</v>
      </c>
      <c r="L15" s="137"/>
      <c r="M15" s="36"/>
      <c r="N15" s="138">
        <f t="shared" si="1"/>
        <v>0</v>
      </c>
      <c r="O15" s="139"/>
      <c r="P15" s="139"/>
      <c r="Q15" s="41"/>
      <c r="R15" s="43" t="s">
        <v>28</v>
      </c>
      <c r="S15" s="42"/>
      <c r="T15" s="43"/>
      <c r="U15" s="42"/>
      <c r="V15" s="44"/>
      <c r="W15" s="44"/>
      <c r="X15" s="45"/>
      <c r="Y15" s="1"/>
    </row>
    <row r="16" ht="13" customHeight="1" spans="1:25" x14ac:dyDescent="0.25">
      <c r="A16" s="7"/>
      <c r="B16" s="36">
        <f t="shared" si="2"/>
        <v>8</v>
      </c>
      <c r="C16" s="47"/>
      <c r="D16" s="39"/>
      <c r="E16" s="39"/>
      <c r="F16" s="39"/>
      <c r="G16" s="39"/>
      <c r="H16" s="46"/>
      <c r="I16" s="36"/>
      <c r="J16" s="39"/>
      <c r="K16" s="136" t="e">
        <f t="shared" si="0"/>
        <v>#DIV/0!</v>
      </c>
      <c r="L16" s="137"/>
      <c r="M16" s="36"/>
      <c r="N16" s="138">
        <f t="shared" si="1"/>
        <v>0</v>
      </c>
      <c r="O16" s="139"/>
      <c r="P16" s="139"/>
      <c r="Q16" s="41"/>
      <c r="R16" s="43" t="s">
        <v>28</v>
      </c>
      <c r="S16" s="42"/>
      <c r="T16" s="43"/>
      <c r="U16" s="42"/>
      <c r="V16" s="44"/>
      <c r="W16" s="44"/>
      <c r="X16" s="45"/>
      <c r="Y16" s="1"/>
    </row>
    <row r="17" ht="13" customHeight="1" spans="1:25" x14ac:dyDescent="0.25">
      <c r="A17" s="7"/>
      <c r="B17" s="36">
        <f t="shared" si="2"/>
        <v>9</v>
      </c>
      <c r="C17" s="47"/>
      <c r="D17" s="39"/>
      <c r="E17" s="39"/>
      <c r="F17" s="39"/>
      <c r="G17" s="39"/>
      <c r="H17" s="46"/>
      <c r="I17" s="36"/>
      <c r="J17" s="39"/>
      <c r="K17" s="136" t="e">
        <f t="shared" si="0"/>
        <v>#DIV/0!</v>
      </c>
      <c r="L17" s="137"/>
      <c r="M17" s="36"/>
      <c r="N17" s="138">
        <f t="shared" si="1"/>
        <v>0</v>
      </c>
      <c r="O17" s="139"/>
      <c r="P17" s="139"/>
      <c r="Q17" s="41"/>
      <c r="R17" s="43" t="s">
        <v>28</v>
      </c>
      <c r="S17" s="42"/>
      <c r="T17" s="43"/>
      <c r="U17" s="42"/>
      <c r="V17" s="44"/>
      <c r="W17" s="44"/>
      <c r="X17" s="45"/>
      <c r="Y17" s="1"/>
    </row>
    <row r="18" ht="13" customHeight="1" spans="1:25" x14ac:dyDescent="0.25">
      <c r="A18" s="7"/>
      <c r="B18" s="36">
        <f t="shared" si="2"/>
        <v>10</v>
      </c>
      <c r="C18" s="47"/>
      <c r="D18" s="39"/>
      <c r="E18" s="39"/>
      <c r="F18" s="39"/>
      <c r="G18" s="39"/>
      <c r="H18" s="46"/>
      <c r="I18" s="36"/>
      <c r="J18" s="39"/>
      <c r="K18" s="136" t="e">
        <f t="shared" si="0"/>
        <v>#DIV/0!</v>
      </c>
      <c r="L18" s="137"/>
      <c r="M18" s="36"/>
      <c r="N18" s="138">
        <f t="shared" si="1"/>
        <v>0</v>
      </c>
      <c r="O18" s="139"/>
      <c r="P18" s="139"/>
      <c r="Q18" s="41"/>
      <c r="R18" s="43" t="s">
        <v>28</v>
      </c>
      <c r="S18" s="42"/>
      <c r="T18" s="43"/>
      <c r="U18" s="42"/>
      <c r="V18" s="44"/>
      <c r="W18" s="44"/>
      <c r="X18" s="45"/>
      <c r="Y18" s="1"/>
    </row>
    <row r="19" ht="13" customHeight="1" spans="1:25" x14ac:dyDescent="0.25">
      <c r="A19" s="7"/>
      <c r="B19" s="36">
        <f t="shared" si="2"/>
        <v>11</v>
      </c>
      <c r="C19" s="47"/>
      <c r="D19" s="39"/>
      <c r="E19" s="39"/>
      <c r="F19" s="39"/>
      <c r="G19" s="39"/>
      <c r="H19" s="46"/>
      <c r="I19" s="36"/>
      <c r="J19" s="39"/>
      <c r="K19" s="136" t="e">
        <f t="shared" si="0"/>
        <v>#DIV/0!</v>
      </c>
      <c r="L19" s="137"/>
      <c r="M19" s="36"/>
      <c r="N19" s="138">
        <f t="shared" si="1"/>
        <v>0</v>
      </c>
      <c r="O19" s="139"/>
      <c r="P19" s="139"/>
      <c r="Q19" s="41"/>
      <c r="R19" s="43" t="s">
        <v>28</v>
      </c>
      <c r="S19" s="42"/>
      <c r="T19" s="43"/>
      <c r="U19" s="42"/>
      <c r="V19" s="44"/>
      <c r="W19" s="44"/>
      <c r="X19" s="45"/>
      <c r="Y19" s="1"/>
    </row>
    <row r="20" ht="13" customHeight="1" spans="1:25" x14ac:dyDescent="0.25">
      <c r="A20" s="7"/>
      <c r="B20" s="36">
        <f t="shared" si="2"/>
        <v>12</v>
      </c>
      <c r="C20" s="47"/>
      <c r="D20" s="39"/>
      <c r="E20" s="39"/>
      <c r="F20" s="39"/>
      <c r="G20" s="39"/>
      <c r="H20" s="46"/>
      <c r="I20" s="36"/>
      <c r="J20" s="39"/>
      <c r="K20" s="136" t="e">
        <f t="shared" si="0"/>
        <v>#DIV/0!</v>
      </c>
      <c r="L20" s="137"/>
      <c r="M20" s="36"/>
      <c r="N20" s="138">
        <f t="shared" si="1"/>
        <v>0</v>
      </c>
      <c r="O20" s="139"/>
      <c r="P20" s="139"/>
      <c r="Q20" s="41"/>
      <c r="R20" s="43" t="s">
        <v>28</v>
      </c>
      <c r="S20" s="42"/>
      <c r="T20" s="43"/>
      <c r="U20" s="42"/>
      <c r="V20" s="44"/>
      <c r="W20" s="44"/>
      <c r="X20" s="45"/>
      <c r="Y20" s="1"/>
    </row>
    <row r="21" ht="13" customHeight="1" spans="1:25" x14ac:dyDescent="0.25">
      <c r="A21" s="7"/>
      <c r="B21" s="36">
        <f t="shared" si="2"/>
        <v>13</v>
      </c>
      <c r="C21" s="47"/>
      <c r="D21" s="39"/>
      <c r="E21" s="39"/>
      <c r="F21" s="39"/>
      <c r="G21" s="39"/>
      <c r="H21" s="46"/>
      <c r="I21" s="36"/>
      <c r="J21" s="39"/>
      <c r="K21" s="136" t="e">
        <f t="shared" si="0"/>
        <v>#DIV/0!</v>
      </c>
      <c r="L21" s="137"/>
      <c r="M21" s="36"/>
      <c r="N21" s="138">
        <f t="shared" si="1"/>
        <v>0</v>
      </c>
      <c r="O21" s="139"/>
      <c r="P21" s="139"/>
      <c r="Q21" s="41"/>
      <c r="R21" s="43" t="s">
        <v>28</v>
      </c>
      <c r="S21" s="42"/>
      <c r="T21" s="43"/>
      <c r="U21" s="42"/>
      <c r="V21" s="44"/>
      <c r="W21" s="44"/>
      <c r="X21" s="45"/>
      <c r="Y21" s="1"/>
    </row>
    <row r="22" ht="13" customHeight="1" spans="1:25" x14ac:dyDescent="0.25">
      <c r="A22" s="7"/>
      <c r="B22" s="36">
        <f t="shared" si="2"/>
        <v>14</v>
      </c>
      <c r="C22" s="47"/>
      <c r="D22" s="39"/>
      <c r="E22" s="39"/>
      <c r="F22" s="39"/>
      <c r="G22" s="39"/>
      <c r="H22" s="46"/>
      <c r="I22" s="36"/>
      <c r="J22" s="39"/>
      <c r="K22" s="136" t="e">
        <f t="shared" si="0"/>
        <v>#DIV/0!</v>
      </c>
      <c r="L22" s="137"/>
      <c r="M22" s="36"/>
      <c r="N22" s="138">
        <f t="shared" si="1"/>
        <v>0</v>
      </c>
      <c r="O22" s="139"/>
      <c r="P22" s="139"/>
      <c r="Q22" s="41"/>
      <c r="R22" s="43" t="s">
        <v>28</v>
      </c>
      <c r="S22" s="42"/>
      <c r="T22" s="43"/>
      <c r="U22" s="42"/>
      <c r="V22" s="44"/>
      <c r="W22" s="44"/>
      <c r="X22" s="45"/>
      <c r="Y22" s="1"/>
    </row>
    <row r="23" ht="13" customHeight="1" spans="1:25" x14ac:dyDescent="0.25">
      <c r="A23" s="7"/>
      <c r="B23" s="36">
        <f t="shared" si="2"/>
        <v>15</v>
      </c>
      <c r="C23" s="47"/>
      <c r="D23" s="39"/>
      <c r="E23" s="39"/>
      <c r="F23" s="39"/>
      <c r="G23" s="39"/>
      <c r="H23" s="46"/>
      <c r="I23" s="36"/>
      <c r="J23" s="39"/>
      <c r="K23" s="136" t="e">
        <f t="shared" si="0"/>
        <v>#DIV/0!</v>
      </c>
      <c r="L23" s="137"/>
      <c r="M23" s="36"/>
      <c r="N23" s="138">
        <f t="shared" si="1"/>
        <v>0</v>
      </c>
      <c r="O23" s="139"/>
      <c r="P23" s="139"/>
      <c r="Q23" s="41"/>
      <c r="R23" s="43" t="s">
        <v>28</v>
      </c>
      <c r="S23" s="42"/>
      <c r="T23" s="43"/>
      <c r="U23" s="42"/>
      <c r="V23" s="44"/>
      <c r="W23" s="44"/>
      <c r="X23" s="45"/>
      <c r="Y23" s="1"/>
    </row>
    <row r="24" ht="13" customHeight="1" spans="1:25" x14ac:dyDescent="0.25">
      <c r="A24" s="7"/>
      <c r="B24" s="36">
        <f t="shared" si="2"/>
        <v>16</v>
      </c>
      <c r="C24" s="47"/>
      <c r="D24" s="39"/>
      <c r="E24" s="39"/>
      <c r="F24" s="39"/>
      <c r="G24" s="39"/>
      <c r="H24" s="46"/>
      <c r="I24" s="36"/>
      <c r="J24" s="39"/>
      <c r="K24" s="136" t="e">
        <f t="shared" si="0"/>
        <v>#DIV/0!</v>
      </c>
      <c r="L24" s="137"/>
      <c r="M24" s="36"/>
      <c r="N24" s="138">
        <f t="shared" si="1"/>
        <v>0</v>
      </c>
      <c r="O24" s="139"/>
      <c r="P24" s="139"/>
      <c r="Q24" s="41"/>
      <c r="R24" s="43" t="s">
        <v>28</v>
      </c>
      <c r="S24" s="42"/>
      <c r="T24" s="43"/>
      <c r="U24" s="42"/>
      <c r="V24" s="44"/>
      <c r="W24" s="44"/>
      <c r="X24" s="45"/>
      <c r="Y24" s="1"/>
    </row>
    <row r="25" ht="13" customHeight="1" spans="1:25" x14ac:dyDescent="0.25">
      <c r="A25" s="7"/>
      <c r="B25" s="36">
        <f t="shared" si="2"/>
        <v>17</v>
      </c>
      <c r="C25" s="47"/>
      <c r="D25" s="39"/>
      <c r="E25" s="39"/>
      <c r="F25" s="39"/>
      <c r="G25" s="39"/>
      <c r="H25" s="46"/>
      <c r="I25" s="36"/>
      <c r="J25" s="39"/>
      <c r="K25" s="136" t="e">
        <f t="shared" si="0"/>
        <v>#DIV/0!</v>
      </c>
      <c r="L25" s="137"/>
      <c r="M25" s="36"/>
      <c r="N25" s="138">
        <f t="shared" si="1"/>
        <v>0</v>
      </c>
      <c r="O25" s="139"/>
      <c r="P25" s="139"/>
      <c r="Q25" s="41"/>
      <c r="R25" s="43" t="s">
        <v>28</v>
      </c>
      <c r="S25" s="42"/>
      <c r="T25" s="43"/>
      <c r="U25" s="42"/>
      <c r="V25" s="44"/>
      <c r="W25" s="44"/>
      <c r="X25" s="45"/>
      <c r="Y25" s="1"/>
    </row>
    <row r="26" ht="13" customHeight="1" spans="1:25" x14ac:dyDescent="0.25">
      <c r="A26" s="7"/>
      <c r="B26" s="36">
        <f t="shared" si="2"/>
        <v>18</v>
      </c>
      <c r="C26" s="47"/>
      <c r="D26" s="39"/>
      <c r="E26" s="39"/>
      <c r="F26" s="39"/>
      <c r="G26" s="39"/>
      <c r="H26" s="46"/>
      <c r="I26" s="36"/>
      <c r="J26" s="39"/>
      <c r="K26" s="136" t="e">
        <f t="shared" si="0"/>
        <v>#DIV/0!</v>
      </c>
      <c r="L26" s="137"/>
      <c r="M26" s="36"/>
      <c r="N26" s="138">
        <f t="shared" si="1"/>
        <v>0</v>
      </c>
      <c r="O26" s="139"/>
      <c r="P26" s="139"/>
      <c r="Q26" s="41"/>
      <c r="R26" s="43" t="s">
        <v>28</v>
      </c>
      <c r="S26" s="42"/>
      <c r="T26" s="43"/>
      <c r="U26" s="42"/>
      <c r="V26" s="44"/>
      <c r="W26" s="44"/>
      <c r="X26" s="45"/>
      <c r="Y26" s="1"/>
    </row>
    <row r="27" ht="13" customHeight="1" spans="1:25" x14ac:dyDescent="0.25">
      <c r="A27" s="7"/>
      <c r="B27" s="36">
        <f t="shared" si="2"/>
        <v>19</v>
      </c>
      <c r="C27" s="47"/>
      <c r="D27" s="39"/>
      <c r="E27" s="39"/>
      <c r="F27" s="39"/>
      <c r="G27" s="39"/>
      <c r="H27" s="46"/>
      <c r="I27" s="36"/>
      <c r="J27" s="39"/>
      <c r="K27" s="136" t="e">
        <f t="shared" si="0"/>
        <v>#DIV/0!</v>
      </c>
      <c r="L27" s="137"/>
      <c r="M27" s="36"/>
      <c r="N27" s="138">
        <f t="shared" si="1"/>
        <v>0</v>
      </c>
      <c r="O27" s="139"/>
      <c r="P27" s="139"/>
      <c r="Q27" s="41"/>
      <c r="R27" s="43" t="s">
        <v>28</v>
      </c>
      <c r="S27" s="42"/>
      <c r="T27" s="43"/>
      <c r="U27" s="42"/>
      <c r="V27" s="44"/>
      <c r="W27" s="44"/>
      <c r="X27" s="45"/>
      <c r="Y27" s="1"/>
    </row>
    <row r="28" ht="13" customHeight="1" spans="1:25" x14ac:dyDescent="0.25">
      <c r="A28" s="7"/>
      <c r="B28" s="36">
        <f t="shared" si="2"/>
        <v>20</v>
      </c>
      <c r="C28" s="47"/>
      <c r="D28" s="39"/>
      <c r="E28" s="39"/>
      <c r="F28" s="39"/>
      <c r="G28" s="39"/>
      <c r="H28" s="46"/>
      <c r="I28" s="36"/>
      <c r="J28" s="39"/>
      <c r="K28" s="136" t="e">
        <f t="shared" si="0"/>
        <v>#DIV/0!</v>
      </c>
      <c r="L28" s="137"/>
      <c r="M28" s="36"/>
      <c r="N28" s="138">
        <f t="shared" si="1"/>
        <v>0</v>
      </c>
      <c r="O28" s="139"/>
      <c r="P28" s="139"/>
      <c r="Q28" s="41"/>
      <c r="R28" s="43" t="s">
        <v>28</v>
      </c>
      <c r="S28" s="42"/>
      <c r="T28" s="43"/>
      <c r="U28" s="42"/>
      <c r="V28" s="44"/>
      <c r="W28" s="44"/>
      <c r="X28" s="45"/>
      <c r="Y28" s="1"/>
    </row>
    <row r="29" ht="13" customHeight="1" spans="1:25" x14ac:dyDescent="0.25">
      <c r="A29" s="7"/>
      <c r="B29" s="36">
        <f t="shared" si="2"/>
        <v>21</v>
      </c>
      <c r="C29" s="47"/>
      <c r="D29" s="39"/>
      <c r="E29" s="39"/>
      <c r="F29" s="39"/>
      <c r="G29" s="39"/>
      <c r="H29" s="46"/>
      <c r="I29" s="36"/>
      <c r="J29" s="39"/>
      <c r="K29" s="136" t="e">
        <f t="shared" si="0"/>
        <v>#DIV/0!</v>
      </c>
      <c r="L29" s="137"/>
      <c r="M29" s="36"/>
      <c r="N29" s="138">
        <f t="shared" si="1"/>
        <v>0</v>
      </c>
      <c r="O29" s="139"/>
      <c r="P29" s="139"/>
      <c r="Q29" s="41"/>
      <c r="R29" s="43" t="s">
        <v>28</v>
      </c>
      <c r="S29" s="42"/>
      <c r="T29" s="43"/>
      <c r="U29" s="42"/>
      <c r="V29" s="44"/>
      <c r="W29" s="44"/>
      <c r="X29" s="45"/>
      <c r="Y29" s="1"/>
    </row>
    <row r="30" ht="13" customHeight="1" spans="1:25" x14ac:dyDescent="0.25">
      <c r="A30" s="7"/>
      <c r="B30" s="36">
        <f t="shared" si="2"/>
        <v>22</v>
      </c>
      <c r="C30" s="47"/>
      <c r="D30" s="39"/>
      <c r="E30" s="39"/>
      <c r="F30" s="39"/>
      <c r="G30" s="39"/>
      <c r="H30" s="46"/>
      <c r="I30" s="36"/>
      <c r="J30" s="39"/>
      <c r="K30" s="136" t="e">
        <f t="shared" si="0"/>
        <v>#DIV/0!</v>
      </c>
      <c r="L30" s="137"/>
      <c r="M30" s="36"/>
      <c r="N30" s="138">
        <f t="shared" si="1"/>
        <v>0</v>
      </c>
      <c r="O30" s="139"/>
      <c r="P30" s="139"/>
      <c r="Q30" s="41"/>
      <c r="R30" s="43" t="s">
        <v>28</v>
      </c>
      <c r="S30" s="42"/>
      <c r="T30" s="43"/>
      <c r="U30" s="42"/>
      <c r="V30" s="44"/>
      <c r="W30" s="44"/>
      <c r="X30" s="45"/>
      <c r="Y30" s="1"/>
    </row>
    <row r="31" ht="13" customHeight="1" spans="1:25" x14ac:dyDescent="0.25">
      <c r="A31" s="48"/>
      <c r="B31" s="36">
        <f t="shared" si="2"/>
        <v>23</v>
      </c>
      <c r="C31" s="47"/>
      <c r="D31" s="39"/>
      <c r="E31" s="39"/>
      <c r="F31" s="39"/>
      <c r="G31" s="39"/>
      <c r="H31" s="46"/>
      <c r="I31" s="36"/>
      <c r="J31" s="39"/>
      <c r="K31" s="136" t="e">
        <f t="shared" si="0"/>
        <v>#DIV/0!</v>
      </c>
      <c r="L31" s="137"/>
      <c r="M31" s="36"/>
      <c r="N31" s="138">
        <f t="shared" si="1"/>
        <v>0</v>
      </c>
      <c r="O31" s="139"/>
      <c r="P31" s="139"/>
      <c r="Q31" s="41"/>
      <c r="R31" s="43" t="s">
        <v>28</v>
      </c>
      <c r="S31" s="42"/>
      <c r="T31" s="43"/>
      <c r="U31" s="42"/>
      <c r="V31" s="44"/>
      <c r="W31" s="44"/>
      <c r="X31" s="45"/>
      <c r="Y31" s="1"/>
    </row>
    <row r="32" ht="13" customHeight="1" spans="1:25" x14ac:dyDescent="0.25">
      <c r="A32" s="7"/>
      <c r="B32" s="36">
        <f t="shared" si="2"/>
        <v>24</v>
      </c>
      <c r="C32" s="47"/>
      <c r="D32" s="39"/>
      <c r="E32" s="39"/>
      <c r="F32" s="39"/>
      <c r="G32" s="39"/>
      <c r="H32" s="46"/>
      <c r="I32" s="36"/>
      <c r="J32" s="39"/>
      <c r="K32" s="136" t="e">
        <f t="shared" si="0"/>
        <v>#DIV/0!</v>
      </c>
      <c r="L32" s="137"/>
      <c r="M32" s="36"/>
      <c r="N32" s="138">
        <f t="shared" si="1"/>
        <v>0</v>
      </c>
      <c r="O32" s="139"/>
      <c r="P32" s="139"/>
      <c r="Q32" s="41"/>
      <c r="R32" s="43" t="s">
        <v>28</v>
      </c>
      <c r="S32" s="42"/>
      <c r="T32" s="43"/>
      <c r="U32" s="42"/>
      <c r="V32" s="44"/>
      <c r="W32" s="44"/>
      <c r="X32" s="45"/>
      <c r="Y32" s="1"/>
    </row>
    <row r="33" ht="13" customHeight="1" spans="1:25" x14ac:dyDescent="0.25">
      <c r="A33" s="7"/>
      <c r="B33" s="36">
        <f t="shared" si="2"/>
        <v>25</v>
      </c>
      <c r="C33" s="47"/>
      <c r="D33" s="39"/>
      <c r="E33" s="39"/>
      <c r="F33" s="39"/>
      <c r="G33" s="39"/>
      <c r="H33" s="46"/>
      <c r="I33" s="36"/>
      <c r="J33" s="39"/>
      <c r="K33" s="136" t="e">
        <f t="shared" si="0"/>
        <v>#DIV/0!</v>
      </c>
      <c r="L33" s="137"/>
      <c r="M33" s="36"/>
      <c r="N33" s="138">
        <f t="shared" si="1"/>
        <v>0</v>
      </c>
      <c r="O33" s="139"/>
      <c r="P33" s="139"/>
      <c r="Q33" s="41"/>
      <c r="R33" s="43" t="s">
        <v>28</v>
      </c>
      <c r="S33" s="42"/>
      <c r="T33" s="43"/>
      <c r="U33" s="42"/>
      <c r="V33" s="44"/>
      <c r="W33" s="44"/>
      <c r="X33" s="45"/>
      <c r="Y33" s="1"/>
    </row>
    <row r="34" ht="13" customHeight="1" spans="1:25" x14ac:dyDescent="0.25">
      <c r="A34" s="7"/>
      <c r="B34" s="140"/>
      <c r="C34" s="141" t="s">
        <v>71</v>
      </c>
      <c r="D34" s="142"/>
      <c r="E34" s="141"/>
      <c r="F34" s="143"/>
      <c r="G34" s="141"/>
      <c r="H34" s="142"/>
      <c r="I34" s="142"/>
      <c r="J34" s="142"/>
      <c r="K34" s="144"/>
      <c r="L34" s="145"/>
      <c r="M34" s="142"/>
      <c r="N34" s="142"/>
      <c r="O34" s="142"/>
      <c r="P34" s="142"/>
      <c r="Q34" s="146"/>
      <c r="R34" s="147"/>
      <c r="S34" s="147"/>
      <c r="T34" s="146"/>
      <c r="U34" s="147"/>
      <c r="V34" s="147"/>
      <c r="W34" s="147"/>
      <c r="X34" s="148"/>
      <c r="Y34" s="1"/>
    </row>
    <row r="35" ht="13" customHeight="1" spans="1:25" x14ac:dyDescent="0.25">
      <c r="A35" s="7"/>
      <c r="B35" s="36">
        <f t="shared" ref="B35:B38" si="3">B34+1</f>
        <v>1</v>
      </c>
      <c r="C35" s="47"/>
      <c r="D35" s="39"/>
      <c r="E35" s="39"/>
      <c r="F35" s="39"/>
      <c r="G35" s="39"/>
      <c r="H35" s="36" t="s">
        <v>45</v>
      </c>
      <c r="I35" s="36">
        <v>0</v>
      </c>
      <c r="J35" s="36" t="s">
        <v>45</v>
      </c>
      <c r="K35" s="136" t="e">
        <f t="shared" ref="K35:K38" si="4">(J35/I35)</f>
        <v>#VALUE!</v>
      </c>
      <c r="L35" s="137"/>
      <c r="M35" s="36"/>
      <c r="N35" s="138">
        <f t="shared" ref="N35:N38" si="5">IFERROR((M35*K35),0)</f>
        <v>0</v>
      </c>
      <c r="O35" s="139"/>
      <c r="P35" s="139"/>
      <c r="Q35" s="41"/>
      <c r="R35" s="43" t="s">
        <v>28</v>
      </c>
      <c r="S35" s="42"/>
      <c r="T35" s="43"/>
      <c r="U35" s="42"/>
      <c r="V35" s="44"/>
      <c r="W35" s="44"/>
      <c r="X35" s="45"/>
      <c r="Y35" s="1"/>
    </row>
    <row r="36" ht="13" customHeight="1" spans="1:25" x14ac:dyDescent="0.25">
      <c r="A36" s="7"/>
      <c r="B36" s="36">
        <f t="shared" si="3"/>
        <v>2</v>
      </c>
      <c r="C36" s="47"/>
      <c r="D36" s="39"/>
      <c r="E36" s="39"/>
      <c r="F36" s="39"/>
      <c r="G36" s="39"/>
      <c r="H36" s="36" t="s">
        <v>45</v>
      </c>
      <c r="I36" s="36">
        <v>0</v>
      </c>
      <c r="J36" s="36" t="s">
        <v>45</v>
      </c>
      <c r="K36" s="136" t="e">
        <f t="shared" si="4"/>
        <v>#VALUE!</v>
      </c>
      <c r="L36" s="137"/>
      <c r="M36" s="36"/>
      <c r="N36" s="138">
        <f t="shared" si="5"/>
        <v>0</v>
      </c>
      <c r="O36" s="139"/>
      <c r="P36" s="139"/>
      <c r="Q36" s="41"/>
      <c r="R36" s="43" t="s">
        <v>28</v>
      </c>
      <c r="S36" s="42"/>
      <c r="T36" s="43"/>
      <c r="U36" s="42"/>
      <c r="V36" s="44"/>
      <c r="W36" s="44"/>
      <c r="X36" s="45"/>
      <c r="Y36" s="1"/>
    </row>
    <row r="37" ht="13" customHeight="1" spans="1:25" x14ac:dyDescent="0.25">
      <c r="A37" s="7"/>
      <c r="B37" s="36">
        <f t="shared" si="3"/>
        <v>3</v>
      </c>
      <c r="C37" s="47"/>
      <c r="D37" s="39"/>
      <c r="E37" s="39"/>
      <c r="F37" s="39"/>
      <c r="G37" s="39"/>
      <c r="H37" s="36" t="s">
        <v>45</v>
      </c>
      <c r="I37" s="36">
        <v>0</v>
      </c>
      <c r="J37" s="36" t="s">
        <v>45</v>
      </c>
      <c r="K37" s="136" t="e">
        <f t="shared" si="4"/>
        <v>#VALUE!</v>
      </c>
      <c r="L37" s="137"/>
      <c r="M37" s="36"/>
      <c r="N37" s="138">
        <f t="shared" si="5"/>
        <v>0</v>
      </c>
      <c r="O37" s="139"/>
      <c r="P37" s="139"/>
      <c r="Q37" s="41"/>
      <c r="R37" s="43" t="s">
        <v>28</v>
      </c>
      <c r="S37" s="42"/>
      <c r="T37" s="43"/>
      <c r="U37" s="42"/>
      <c r="V37" s="44"/>
      <c r="W37" s="44"/>
      <c r="X37" s="45"/>
      <c r="Y37" s="1"/>
    </row>
    <row r="38" ht="13" customHeight="1" spans="1:25" x14ac:dyDescent="0.25">
      <c r="A38" s="149"/>
      <c r="B38" s="36">
        <f t="shared" si="3"/>
        <v>4</v>
      </c>
      <c r="C38" s="47"/>
      <c r="D38" s="39"/>
      <c r="E38" s="39"/>
      <c r="F38" s="39"/>
      <c r="G38" s="39"/>
      <c r="H38" s="36" t="s">
        <v>45</v>
      </c>
      <c r="I38" s="36">
        <v>0</v>
      </c>
      <c r="J38" s="36" t="s">
        <v>45</v>
      </c>
      <c r="K38" s="136" t="e">
        <f t="shared" si="4"/>
        <v>#VALUE!</v>
      </c>
      <c r="L38" s="137"/>
      <c r="M38" s="36"/>
      <c r="N38" s="138">
        <f t="shared" si="5"/>
        <v>0</v>
      </c>
      <c r="O38" s="139"/>
      <c r="P38" s="139"/>
      <c r="Q38" s="41"/>
      <c r="R38" s="43" t="s">
        <v>28</v>
      </c>
      <c r="S38" s="42"/>
      <c r="T38" s="43"/>
      <c r="U38" s="42"/>
      <c r="V38" s="44"/>
      <c r="W38" s="44"/>
      <c r="X38" s="45"/>
      <c r="Y38" s="78"/>
    </row>
    <row r="39" ht="13" customHeight="1" spans="1:25" x14ac:dyDescent="0.25">
      <c r="A39" s="1"/>
      <c r="B39" s="57"/>
      <c r="C39" s="58"/>
      <c r="D39" s="67"/>
      <c r="E39" s="57"/>
      <c r="F39" s="57"/>
      <c r="G39" s="57"/>
      <c r="H39" s="67"/>
      <c r="I39" s="67"/>
      <c r="J39" s="67"/>
      <c r="K39" s="57"/>
      <c r="L39" s="68"/>
      <c r="M39" s="57"/>
      <c r="N39" s="57"/>
      <c r="O39" s="57"/>
      <c r="P39" s="69"/>
      <c r="Q39" s="150"/>
      <c r="R39" s="1"/>
      <c r="S39" s="67"/>
      <c r="T39" s="58"/>
      <c r="U39" s="57"/>
      <c r="V39" s="67"/>
      <c r="W39" s="67"/>
      <c r="X39" s="58"/>
      <c r="Y39" s="1"/>
    </row>
  </sheetData>
  <mergeCells count="17">
    <mergeCell ref="B2:D2"/>
    <mergeCell ref="E2:X2"/>
    <mergeCell ref="B4:C4"/>
    <mergeCell ref="G4:H4"/>
    <mergeCell ref="I4:J4"/>
    <mergeCell ref="M4:N5"/>
    <mergeCell ref="B5:C5"/>
    <mergeCell ref="F4:F5"/>
    <mergeCell ref="G5:H5"/>
    <mergeCell ref="I5:J5"/>
    <mergeCell ref="Q4:Q5"/>
    <mergeCell ref="R4:R5"/>
    <mergeCell ref="T4:T5"/>
    <mergeCell ref="U4:U5"/>
    <mergeCell ref="B7:D7"/>
    <mergeCell ref="E7:Q7"/>
    <mergeCell ref="R7:X7"/>
  </mergeCells>
  <conditionalFormatting sqref="R4:R5 U5">
    <cfRule type="cellIs" dxfId="19" priority="10" operator="between">
      <formula>"50%"</formula>
      <formula>"60%"</formula>
    </cfRule>
    <cfRule type="cellIs" dxfId="20" priority="11" operator="between">
      <formula>"61%"</formula>
      <formula>"75%"</formula>
    </cfRule>
    <cfRule type="cellIs" dxfId="21" priority="12" operator="between">
      <formula>"76%"</formula>
      <formula>"80%"</formula>
    </cfRule>
    <cfRule type="cellIs" dxfId="22" priority="13" operator="between">
      <formula>"81%"</formula>
      <formula>"130%"</formula>
    </cfRule>
    <cfRule type="cellIs" dxfId="23" priority="14" operator="between">
      <formula>"1%"</formula>
      <formula>"49%"</formula>
    </cfRule>
  </conditionalFormatting>
  <conditionalFormatting sqref="R9:R33 X9:X33 R35:R38 X35:X38">
    <cfRule type="cellIs" dxfId="24" priority="4" operator="equal">
      <formula>"Aprobado"</formula>
    </cfRule>
    <cfRule type="cellIs" dxfId="25" priority="5" operator="equal">
      <formula>"Aprobado parcial."</formula>
    </cfRule>
    <cfRule type="cellIs" dxfId="26" priority="6" operator="equal">
      <formula>"Rechazado"</formula>
    </cfRule>
    <cfRule type="cellIs" dxfId="27" priority="7" operator="equal">
      <formula>"Pendiente"</formula>
    </cfRule>
  </conditionalFormatting>
  <conditionalFormatting sqref="R9:X33 R35:X38">
    <cfRule type="containsBlanks" dxfId="28" priority="9" operator="containsBlanks">
      <formula>LEN(TRIM(R9))=0</formula>
    </cfRule>
  </conditionalFormatting>
  <conditionalFormatting sqref="X9:X33 X35:X38">
    <cfRule type="cellIs" dxfId="29" priority="1" operator="equal">
      <formula>"Fallecido/a"</formula>
    </cfRule>
    <cfRule type="cellIs" dxfId="30" priority="2" operator="equal">
      <formula>"Destinación"</formula>
    </cfRule>
    <cfRule type="cellIs" dxfId="31" priority="3" operator="equal">
      <formula>"Sin efecto"</formula>
    </cfRule>
    <cfRule type="cellIs" dxfId="32" priority="15" operator="equal">
      <formula>"Vigente"</formula>
    </cfRule>
    <cfRule type="cellIs" dxfId="33" priority="16" operator="equal">
      <formula>"Renuncia"</formula>
    </cfRule>
    <cfRule type="cellIs" dxfId="34" priority="17" operator="equal">
      <formula>"Renuncia parcial"</formula>
    </cfRule>
    <cfRule type="cellIs" dxfId="35" priority="18" operator="equal">
      <formula>"Pendiente"</formula>
    </cfRule>
    <cfRule type="cellIs" dxfId="36" priority="19" operator="equal">
      <formula>"Reubicación"</formula>
    </cfRule>
    <cfRule type="cellIs" dxfId="37" priority="20" operator="equal">
      <formula>"Cese"</formula>
    </cfRule>
    <cfRule type="cellIs" dxfId="38" priority="21" operator="equal">
      <formula>"Defunción"</formula>
    </cfRule>
    <cfRule type="cellIs" dxfId="39" priority="22" operator="equal">
      <formula>"Cambio fondo"</formula>
    </cfRule>
    <cfRule type="cellIs" dxfId="40" priority="23" operator="equal">
      <formula>"No asume"</formula>
    </cfRule>
    <cfRule type="cellIs" dxfId="41" priority="24" operator="equal">
      <formula>"Sin efecto"</formula>
    </cfRule>
  </conditionalFormatting>
  <dataValidations count="9">
    <dataValidation type="list" allowBlank="1" sqref="L10:L33">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L35:L38">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L9:L33">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R10:R33">
      <formula1>"Aprobado,Aprobado parcial.,Rechazado,Pendiente"</formula1>
    </dataValidation>
    <dataValidation type="list" allowBlank="1" sqref="R35:R38">
      <formula1>"Aprobado,Aprobado parcial.,Rechazado,Pendiente"</formula1>
    </dataValidation>
    <dataValidation type="list" allowBlank="1" sqref="R9:R33">
      <formula1>"Aprobado,Aprobado parcial.,Rechazado,Pendiente"</formula1>
    </dataValidation>
    <dataValidation type="list" allowBlank="1" sqref="X10:X33">
      <formula1>"Vigente,Renuncia,Pendiente,Cese,Defunción,Renuncia parcial,Cambio fondo,No asume,Sin efecto,Fallecido/a,Destinación"</formula1>
    </dataValidation>
    <dataValidation type="list" allowBlank="1" sqref="X35:X38">
      <formula1>"Vigente,Renuncia,Pendiente,Cese,Defunción,Renuncia parcial,Cambio fondo,No asume,Sin efecto,Fallecido/a,Destinación"</formula1>
    </dataValidation>
    <dataValidation type="list" allowBlank="1" sqref="X9:X33">
      <formula1>"Vigente,Renuncia,Pendiente,Cese,Defunción,Renuncia parcial,Cambio fondo,No asume,Sin efecto,Fallecido/a,Destinación"</formula1>
    </dataValidation>
  </dataValidation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1:R54"/>
  <sheetViews>
    <sheetView workbookViewId="0" zoomScale="100" zoomScaleNormal="100">
      <pane ySplit="2" topLeftCell="A3" activePane="bottomLeft" state="frozen"/>
      <selection pane="bottomLeft" activeCell="L8" sqref="L8"/>
    </sheetView>
  </sheetViews>
  <sheetFormatPr defaultRowHeight="15" outlineLevelRow="0" outlineLevelCol="0" x14ac:dyDescent="0.3" defaultColWidth="14.3984375"/>
  <cols>
    <col min="1" max="1" width="2.8984375" customWidth="1"/>
    <col min="2" max="2" width="4.59765625" customWidth="1"/>
    <col min="3" max="3" width="22.3984375" customWidth="1"/>
    <col min="4" max="4" width="11.3984375" customWidth="1"/>
    <col min="5" max="5" width="9.3984375" customWidth="1"/>
    <col min="6" max="6" width="16.09765625" customWidth="1"/>
    <col min="7" max="7" width="6.3984375" customWidth="1"/>
    <col min="8" max="8" width="13.69921875" customWidth="1"/>
    <col min="9" max="9" width="9.09765625" customWidth="1"/>
    <col min="10" max="10" width="25.59765625" customWidth="1"/>
    <col min="11" max="11" width="12.8984375" customWidth="1"/>
    <col min="12" max="12" width="8.3984375" customWidth="1"/>
    <col min="13" max="13" width="29.3984375" customWidth="1"/>
    <col min="14" max="14" width="6.69921875" customWidth="1"/>
    <col min="15" max="16" width="9.59765625" customWidth="1"/>
    <col min="17" max="17" width="11.8984375" customWidth="1"/>
    <col min="18" max="18" width="2.8984375" customWidth="1"/>
  </cols>
  <sheetData>
    <row r="1" ht="9.75" customHeight="1" spans="1:18" x14ac:dyDescent="0.25">
      <c r="A1" s="1"/>
      <c r="B1" s="97"/>
      <c r="C1" s="98"/>
      <c r="D1" s="97"/>
      <c r="E1" s="97"/>
      <c r="F1" s="98"/>
      <c r="G1" s="97"/>
      <c r="H1" s="97"/>
      <c r="I1" s="97"/>
      <c r="J1" s="98"/>
      <c r="K1" s="97"/>
      <c r="L1" s="97"/>
      <c r="M1" s="98"/>
      <c r="N1" s="97"/>
      <c r="O1" s="99"/>
      <c r="P1" s="2"/>
      <c r="Q1" s="2"/>
      <c r="R1" s="12"/>
    </row>
    <row r="2" ht="14.25" customHeight="1" spans="1:18" x14ac:dyDescent="0.25">
      <c r="A2" s="151"/>
      <c r="B2" s="152" t="s">
        <v>72</v>
      </c>
      <c r="C2" s="9"/>
      <c r="D2" s="9"/>
      <c r="E2" s="9"/>
      <c r="F2" s="9"/>
      <c r="G2" s="9"/>
      <c r="H2" s="9"/>
      <c r="I2" s="9"/>
      <c r="J2" s="9"/>
      <c r="K2" s="9"/>
      <c r="L2" s="9"/>
      <c r="M2" s="9"/>
      <c r="N2" s="9"/>
      <c r="O2" s="9"/>
      <c r="P2" s="9"/>
      <c r="Q2" s="10"/>
      <c r="R2" s="120"/>
    </row>
    <row r="3" ht="14.25" customHeight="1" spans="1:18" x14ac:dyDescent="0.25">
      <c r="A3" s="102"/>
      <c r="B3" s="2"/>
      <c r="C3" s="3"/>
      <c r="D3" s="12"/>
      <c r="E3" s="2"/>
      <c r="F3" s="58"/>
      <c r="G3" s="2"/>
      <c r="H3" s="2"/>
      <c r="I3" s="4"/>
      <c r="J3" s="3"/>
      <c r="K3" s="15"/>
      <c r="L3" s="15"/>
      <c r="M3" s="153"/>
      <c r="N3" s="154"/>
      <c r="O3" s="154"/>
      <c r="P3" s="154"/>
      <c r="Q3" s="154"/>
      <c r="R3" s="154"/>
    </row>
    <row r="4" ht="17.25" customHeight="1" spans="1:18" x14ac:dyDescent="0.25">
      <c r="A4" s="151"/>
      <c r="B4" s="155" t="s">
        <v>73</v>
      </c>
      <c r="C4" s="9"/>
      <c r="D4" s="83"/>
      <c r="E4" s="156">
        <f>SUM(G8:G53)</f>
        <v>0</v>
      </c>
      <c r="F4" s="157"/>
      <c r="G4" s="158" t="s">
        <v>4</v>
      </c>
      <c r="H4" s="83"/>
      <c r="I4" s="156">
        <f>SUM(I8:I53)</f>
        <v>0</v>
      </c>
      <c r="J4" s="159"/>
      <c r="K4" s="158" t="s">
        <v>74</v>
      </c>
      <c r="L4" s="9"/>
      <c r="M4" s="10"/>
      <c r="N4" s="156">
        <f>SUM(L8:L53)</f>
        <v>0</v>
      </c>
      <c r="O4" s="82"/>
      <c r="P4" s="82"/>
      <c r="Q4" s="82"/>
      <c r="R4" s="78"/>
    </row>
    <row r="5" ht="14.25" customHeight="1" spans="1:18" x14ac:dyDescent="0.25">
      <c r="A5" s="151"/>
      <c r="B5" s="12"/>
      <c r="C5" s="160"/>
      <c r="D5" s="12"/>
      <c r="E5" s="12"/>
      <c r="F5" s="161"/>
      <c r="G5" s="12"/>
      <c r="H5" s="12"/>
      <c r="I5" s="162"/>
      <c r="J5" s="161"/>
      <c r="K5" s="12"/>
      <c r="L5" s="12"/>
      <c r="M5" s="161"/>
      <c r="N5" s="163"/>
      <c r="O5" s="163"/>
      <c r="P5" s="163"/>
      <c r="Q5" s="163"/>
      <c r="R5" s="62"/>
    </row>
    <row r="6" ht="16.5" customHeight="1" spans="1:18" x14ac:dyDescent="0.25">
      <c r="A6" s="151"/>
      <c r="B6" s="164" t="s">
        <v>75</v>
      </c>
      <c r="C6" s="9"/>
      <c r="D6" s="9"/>
      <c r="E6" s="9"/>
      <c r="F6" s="9"/>
      <c r="G6" s="165"/>
      <c r="H6" s="166" t="s">
        <v>76</v>
      </c>
      <c r="I6" s="9"/>
      <c r="J6" s="10"/>
      <c r="K6" s="134" t="s">
        <v>9</v>
      </c>
      <c r="L6" s="9"/>
      <c r="M6" s="9"/>
      <c r="N6" s="9"/>
      <c r="O6" s="9"/>
      <c r="P6" s="9"/>
      <c r="Q6" s="10"/>
      <c r="R6" s="78"/>
    </row>
    <row r="7" ht="21" customHeight="1" spans="1:18" x14ac:dyDescent="0.25">
      <c r="A7" s="151"/>
      <c r="B7" s="167" t="s">
        <v>10</v>
      </c>
      <c r="C7" s="167" t="s">
        <v>11</v>
      </c>
      <c r="D7" s="167" t="s">
        <v>12</v>
      </c>
      <c r="E7" s="31" t="s">
        <v>14</v>
      </c>
      <c r="F7" s="168" t="s">
        <v>77</v>
      </c>
      <c r="G7" s="168" t="s">
        <v>16</v>
      </c>
      <c r="H7" s="167" t="s">
        <v>17</v>
      </c>
      <c r="I7" s="167" t="s">
        <v>78</v>
      </c>
      <c r="J7" s="169" t="s">
        <v>79</v>
      </c>
      <c r="K7" s="170" t="s">
        <v>20</v>
      </c>
      <c r="L7" s="45" t="s">
        <v>21</v>
      </c>
      <c r="M7" s="45" t="s">
        <v>22</v>
      </c>
      <c r="N7" s="171" t="s">
        <v>23</v>
      </c>
      <c r="O7" s="170" t="s">
        <v>24</v>
      </c>
      <c r="P7" s="170" t="s">
        <v>25</v>
      </c>
      <c r="Q7" s="170" t="s">
        <v>26</v>
      </c>
      <c r="R7" s="78"/>
    </row>
    <row r="8" ht="15.75" customHeight="1" spans="1:18" x14ac:dyDescent="0.25">
      <c r="A8" s="151"/>
      <c r="B8" s="42">
        <v>1</v>
      </c>
      <c r="C8" s="172"/>
      <c r="D8" s="173"/>
      <c r="E8" s="174" t="s">
        <v>80</v>
      </c>
      <c r="F8" s="175"/>
      <c r="G8" s="176"/>
      <c r="H8" s="177"/>
      <c r="I8" s="178"/>
      <c r="J8" s="179"/>
      <c r="K8" s="180" t="s">
        <v>28</v>
      </c>
      <c r="L8" s="178"/>
      <c r="M8" s="180"/>
      <c r="N8" s="181"/>
      <c r="O8" s="182"/>
      <c r="P8" s="182"/>
      <c r="Q8" s="45" t="s">
        <v>49</v>
      </c>
      <c r="R8" s="78"/>
    </row>
    <row r="9" ht="15.75" customHeight="1" spans="1:18" x14ac:dyDescent="0.25">
      <c r="A9" s="151"/>
      <c r="B9" s="42">
        <f t="shared" ref="B9:B47" si="0">B8+1</f>
        <v>2</v>
      </c>
      <c r="C9" s="172"/>
      <c r="D9" s="173"/>
      <c r="E9" s="173" t="s">
        <v>80</v>
      </c>
      <c r="F9" s="175"/>
      <c r="G9" s="176"/>
      <c r="H9" s="177"/>
      <c r="I9" s="178"/>
      <c r="J9" s="179"/>
      <c r="K9" s="180" t="s">
        <v>28</v>
      </c>
      <c r="L9" s="178"/>
      <c r="M9" s="180"/>
      <c r="N9" s="183"/>
      <c r="O9" s="184"/>
      <c r="P9" s="184"/>
      <c r="Q9" s="45" t="s">
        <v>49</v>
      </c>
      <c r="R9" s="78"/>
    </row>
    <row r="10" ht="15.75" customHeight="1" spans="1:18" x14ac:dyDescent="0.25">
      <c r="A10" s="151"/>
      <c r="B10" s="42">
        <f t="shared" si="0"/>
        <v>3</v>
      </c>
      <c r="C10" s="172"/>
      <c r="D10" s="173"/>
      <c r="E10" s="174" t="s">
        <v>80</v>
      </c>
      <c r="F10" s="175"/>
      <c r="G10" s="176"/>
      <c r="H10" s="177"/>
      <c r="I10" s="178"/>
      <c r="J10" s="179"/>
      <c r="K10" s="180" t="s">
        <v>28</v>
      </c>
      <c r="L10" s="178"/>
      <c r="M10" s="180"/>
      <c r="N10" s="183"/>
      <c r="O10" s="184"/>
      <c r="P10" s="184"/>
      <c r="Q10" s="45" t="s">
        <v>49</v>
      </c>
      <c r="R10" s="78"/>
    </row>
    <row r="11" ht="15.75" customHeight="1" spans="1:18" x14ac:dyDescent="0.25">
      <c r="A11" s="151"/>
      <c r="B11" s="42">
        <f t="shared" si="0"/>
        <v>4</v>
      </c>
      <c r="C11" s="172"/>
      <c r="D11" s="173"/>
      <c r="E11" s="173" t="s">
        <v>80</v>
      </c>
      <c r="F11" s="175"/>
      <c r="G11" s="176"/>
      <c r="H11" s="177"/>
      <c r="I11" s="178"/>
      <c r="J11" s="179"/>
      <c r="K11" s="180" t="s">
        <v>28</v>
      </c>
      <c r="L11" s="178"/>
      <c r="M11" s="180"/>
      <c r="N11" s="181"/>
      <c r="O11" s="182"/>
      <c r="P11" s="182"/>
      <c r="Q11" s="45" t="s">
        <v>49</v>
      </c>
      <c r="R11" s="78"/>
    </row>
    <row r="12" ht="15.75" customHeight="1" spans="1:18" x14ac:dyDescent="0.25">
      <c r="A12" s="151"/>
      <c r="B12" s="42">
        <f t="shared" si="0"/>
        <v>5</v>
      </c>
      <c r="C12" s="172"/>
      <c r="D12" s="173"/>
      <c r="E12" s="174" t="s">
        <v>80</v>
      </c>
      <c r="F12" s="175"/>
      <c r="G12" s="176"/>
      <c r="H12" s="177"/>
      <c r="I12" s="178"/>
      <c r="J12" s="179"/>
      <c r="K12" s="180" t="s">
        <v>28</v>
      </c>
      <c r="L12" s="178"/>
      <c r="M12" s="180"/>
      <c r="N12" s="181"/>
      <c r="O12" s="182"/>
      <c r="P12" s="182"/>
      <c r="Q12" s="45" t="s">
        <v>49</v>
      </c>
      <c r="R12" s="78"/>
    </row>
    <row r="13" ht="15.75" customHeight="1" spans="1:18" x14ac:dyDescent="0.25">
      <c r="A13" s="151"/>
      <c r="B13" s="42">
        <f t="shared" si="0"/>
        <v>6</v>
      </c>
      <c r="C13" s="172"/>
      <c r="D13" s="173"/>
      <c r="E13" s="173" t="s">
        <v>80</v>
      </c>
      <c r="F13" s="175"/>
      <c r="G13" s="176"/>
      <c r="H13" s="177"/>
      <c r="I13" s="178"/>
      <c r="J13" s="179"/>
      <c r="K13" s="180" t="s">
        <v>28</v>
      </c>
      <c r="L13" s="178"/>
      <c r="M13" s="180"/>
      <c r="N13" s="181"/>
      <c r="O13" s="182"/>
      <c r="P13" s="182"/>
      <c r="Q13" s="45" t="s">
        <v>49</v>
      </c>
      <c r="R13" s="78"/>
    </row>
    <row r="14" ht="15.75" customHeight="1" spans="1:18" x14ac:dyDescent="0.25">
      <c r="A14" s="151"/>
      <c r="B14" s="42">
        <f t="shared" si="0"/>
        <v>7</v>
      </c>
      <c r="C14" s="172"/>
      <c r="D14" s="173"/>
      <c r="E14" s="174" t="s">
        <v>80</v>
      </c>
      <c r="F14" s="175"/>
      <c r="G14" s="176"/>
      <c r="H14" s="177"/>
      <c r="I14" s="178"/>
      <c r="J14" s="179"/>
      <c r="K14" s="180" t="s">
        <v>28</v>
      </c>
      <c r="L14" s="178"/>
      <c r="M14" s="180"/>
      <c r="N14" s="181"/>
      <c r="O14" s="182"/>
      <c r="P14" s="182"/>
      <c r="Q14" s="45" t="s">
        <v>49</v>
      </c>
      <c r="R14" s="78"/>
    </row>
    <row r="15" ht="15.75" customHeight="1" spans="1:18" x14ac:dyDescent="0.25">
      <c r="A15" s="151"/>
      <c r="B15" s="42">
        <f t="shared" si="0"/>
        <v>8</v>
      </c>
      <c r="C15" s="172"/>
      <c r="D15" s="173"/>
      <c r="E15" s="173" t="s">
        <v>80</v>
      </c>
      <c r="F15" s="175"/>
      <c r="G15" s="176"/>
      <c r="H15" s="177"/>
      <c r="I15" s="178"/>
      <c r="J15" s="179"/>
      <c r="K15" s="180" t="s">
        <v>28</v>
      </c>
      <c r="L15" s="178"/>
      <c r="M15" s="180"/>
      <c r="N15" s="181"/>
      <c r="O15" s="182"/>
      <c r="P15" s="182"/>
      <c r="Q15" s="45" t="s">
        <v>49</v>
      </c>
      <c r="R15" s="78"/>
    </row>
    <row r="16" ht="15.75" customHeight="1" spans="1:18" x14ac:dyDescent="0.25">
      <c r="A16" s="151"/>
      <c r="B16" s="42">
        <f t="shared" si="0"/>
        <v>9</v>
      </c>
      <c r="C16" s="172"/>
      <c r="D16" s="173"/>
      <c r="E16" s="174" t="s">
        <v>80</v>
      </c>
      <c r="F16" s="175"/>
      <c r="G16" s="176"/>
      <c r="H16" s="177"/>
      <c r="I16" s="178"/>
      <c r="J16" s="179"/>
      <c r="K16" s="180" t="s">
        <v>28</v>
      </c>
      <c r="L16" s="178"/>
      <c r="M16" s="180"/>
      <c r="N16" s="181"/>
      <c r="O16" s="182"/>
      <c r="P16" s="182"/>
      <c r="Q16" s="45" t="s">
        <v>49</v>
      </c>
      <c r="R16" s="78"/>
    </row>
    <row r="17" ht="15.75" customHeight="1" spans="1:18" x14ac:dyDescent="0.25">
      <c r="A17" s="151"/>
      <c r="B17" s="42">
        <f t="shared" si="0"/>
        <v>10</v>
      </c>
      <c r="C17" s="172"/>
      <c r="D17" s="173"/>
      <c r="E17" s="173" t="s">
        <v>80</v>
      </c>
      <c r="F17" s="175"/>
      <c r="G17" s="176"/>
      <c r="H17" s="177"/>
      <c r="I17" s="178"/>
      <c r="J17" s="179"/>
      <c r="K17" s="180" t="s">
        <v>28</v>
      </c>
      <c r="L17" s="178"/>
      <c r="M17" s="180"/>
      <c r="N17" s="183"/>
      <c r="O17" s="184"/>
      <c r="P17" s="184"/>
      <c r="Q17" s="45" t="s">
        <v>49</v>
      </c>
      <c r="R17" s="78"/>
    </row>
    <row r="18" ht="15.75" customHeight="1" spans="1:18" x14ac:dyDescent="0.25">
      <c r="A18" s="151"/>
      <c r="B18" s="42">
        <f t="shared" si="0"/>
        <v>11</v>
      </c>
      <c r="C18" s="172"/>
      <c r="D18" s="173"/>
      <c r="E18" s="174" t="s">
        <v>80</v>
      </c>
      <c r="F18" s="175"/>
      <c r="G18" s="176"/>
      <c r="H18" s="177"/>
      <c r="I18" s="178"/>
      <c r="J18" s="179"/>
      <c r="K18" s="180" t="s">
        <v>28</v>
      </c>
      <c r="L18" s="178"/>
      <c r="M18" s="180"/>
      <c r="N18" s="181"/>
      <c r="O18" s="182"/>
      <c r="P18" s="182"/>
      <c r="Q18" s="45" t="s">
        <v>49</v>
      </c>
      <c r="R18" s="78"/>
    </row>
    <row r="19" ht="15.75" customHeight="1" spans="1:18" x14ac:dyDescent="0.25">
      <c r="A19" s="151"/>
      <c r="B19" s="42">
        <f t="shared" si="0"/>
        <v>12</v>
      </c>
      <c r="C19" s="172"/>
      <c r="D19" s="173"/>
      <c r="E19" s="173" t="s">
        <v>80</v>
      </c>
      <c r="F19" s="175"/>
      <c r="G19" s="176"/>
      <c r="H19" s="177"/>
      <c r="I19" s="178"/>
      <c r="J19" s="179"/>
      <c r="K19" s="180" t="s">
        <v>28</v>
      </c>
      <c r="L19" s="178"/>
      <c r="M19" s="180"/>
      <c r="N19" s="183"/>
      <c r="O19" s="184"/>
      <c r="P19" s="184"/>
      <c r="Q19" s="45" t="s">
        <v>49</v>
      </c>
      <c r="R19" s="78"/>
    </row>
    <row r="20" ht="15.75" customHeight="1" spans="1:18" x14ac:dyDescent="0.25">
      <c r="A20" s="151"/>
      <c r="B20" s="42">
        <f t="shared" si="0"/>
        <v>13</v>
      </c>
      <c r="C20" s="172"/>
      <c r="D20" s="173"/>
      <c r="E20" s="174" t="s">
        <v>80</v>
      </c>
      <c r="F20" s="175"/>
      <c r="G20" s="176"/>
      <c r="H20" s="177"/>
      <c r="I20" s="178"/>
      <c r="J20" s="179"/>
      <c r="K20" s="180" t="s">
        <v>28</v>
      </c>
      <c r="L20" s="178"/>
      <c r="M20" s="180"/>
      <c r="N20" s="183"/>
      <c r="O20" s="184"/>
      <c r="P20" s="184"/>
      <c r="Q20" s="45" t="s">
        <v>49</v>
      </c>
      <c r="R20" s="78"/>
    </row>
    <row r="21" ht="15.75" customHeight="1" spans="1:18" x14ac:dyDescent="0.25">
      <c r="A21" s="151"/>
      <c r="B21" s="42">
        <f t="shared" si="0"/>
        <v>14</v>
      </c>
      <c r="C21" s="172"/>
      <c r="D21" s="173"/>
      <c r="E21" s="173" t="s">
        <v>80</v>
      </c>
      <c r="F21" s="175"/>
      <c r="G21" s="176"/>
      <c r="H21" s="177"/>
      <c r="I21" s="178"/>
      <c r="J21" s="179"/>
      <c r="K21" s="180" t="s">
        <v>28</v>
      </c>
      <c r="L21" s="178"/>
      <c r="M21" s="180"/>
      <c r="N21" s="181"/>
      <c r="O21" s="182"/>
      <c r="P21" s="182"/>
      <c r="Q21" s="45" t="s">
        <v>49</v>
      </c>
      <c r="R21" s="78"/>
    </row>
    <row r="22" ht="15.75" customHeight="1" spans="1:18" x14ac:dyDescent="0.25">
      <c r="A22" s="151"/>
      <c r="B22" s="42">
        <f t="shared" si="0"/>
        <v>15</v>
      </c>
      <c r="C22" s="172"/>
      <c r="D22" s="173"/>
      <c r="E22" s="174" t="s">
        <v>80</v>
      </c>
      <c r="F22" s="175"/>
      <c r="G22" s="176"/>
      <c r="H22" s="177"/>
      <c r="I22" s="178"/>
      <c r="J22" s="179"/>
      <c r="K22" s="180" t="s">
        <v>28</v>
      </c>
      <c r="L22" s="178"/>
      <c r="M22" s="180"/>
      <c r="N22" s="181"/>
      <c r="O22" s="182"/>
      <c r="P22" s="182"/>
      <c r="Q22" s="45" t="s">
        <v>49</v>
      </c>
      <c r="R22" s="78"/>
    </row>
    <row r="23" ht="15.75" customHeight="1" spans="1:18" x14ac:dyDescent="0.25">
      <c r="A23" s="151"/>
      <c r="B23" s="42">
        <f t="shared" si="0"/>
        <v>16</v>
      </c>
      <c r="C23" s="172"/>
      <c r="D23" s="173"/>
      <c r="E23" s="173" t="s">
        <v>80</v>
      </c>
      <c r="F23" s="175"/>
      <c r="G23" s="176"/>
      <c r="H23" s="177"/>
      <c r="I23" s="178"/>
      <c r="J23" s="179"/>
      <c r="K23" s="180" t="s">
        <v>28</v>
      </c>
      <c r="L23" s="178"/>
      <c r="M23" s="180"/>
      <c r="N23" s="181"/>
      <c r="O23" s="182"/>
      <c r="P23" s="182"/>
      <c r="Q23" s="45" t="s">
        <v>49</v>
      </c>
      <c r="R23" s="78"/>
    </row>
    <row r="24" ht="15.75" customHeight="1" spans="1:18" x14ac:dyDescent="0.25">
      <c r="A24" s="151"/>
      <c r="B24" s="42">
        <f t="shared" si="0"/>
        <v>17</v>
      </c>
      <c r="C24" s="172"/>
      <c r="D24" s="173"/>
      <c r="E24" s="174" t="s">
        <v>80</v>
      </c>
      <c r="F24" s="175"/>
      <c r="G24" s="176"/>
      <c r="H24" s="177"/>
      <c r="I24" s="178"/>
      <c r="J24" s="179"/>
      <c r="K24" s="180" t="s">
        <v>28</v>
      </c>
      <c r="L24" s="178"/>
      <c r="M24" s="180"/>
      <c r="N24" s="181"/>
      <c r="O24" s="182"/>
      <c r="P24" s="182"/>
      <c r="Q24" s="45" t="s">
        <v>49</v>
      </c>
      <c r="R24" s="78"/>
    </row>
    <row r="25" ht="15.75" customHeight="1" spans="1:18" x14ac:dyDescent="0.25">
      <c r="A25" s="151"/>
      <c r="B25" s="42">
        <f t="shared" si="0"/>
        <v>18</v>
      </c>
      <c r="C25" s="172"/>
      <c r="D25" s="173"/>
      <c r="E25" s="173" t="s">
        <v>80</v>
      </c>
      <c r="F25" s="175"/>
      <c r="G25" s="176"/>
      <c r="H25" s="177"/>
      <c r="I25" s="178"/>
      <c r="J25" s="179"/>
      <c r="K25" s="180" t="s">
        <v>28</v>
      </c>
      <c r="L25" s="178"/>
      <c r="M25" s="180"/>
      <c r="N25" s="181"/>
      <c r="O25" s="182"/>
      <c r="P25" s="182"/>
      <c r="Q25" s="45" t="s">
        <v>49</v>
      </c>
      <c r="R25" s="78"/>
    </row>
    <row r="26" ht="15.75" customHeight="1" spans="1:18" x14ac:dyDescent="0.25">
      <c r="A26" s="151"/>
      <c r="B26" s="42">
        <f t="shared" si="0"/>
        <v>19</v>
      </c>
      <c r="C26" s="172"/>
      <c r="D26" s="173"/>
      <c r="E26" s="174" t="s">
        <v>80</v>
      </c>
      <c r="F26" s="175"/>
      <c r="G26" s="176"/>
      <c r="H26" s="177"/>
      <c r="I26" s="178"/>
      <c r="J26" s="179"/>
      <c r="K26" s="180" t="s">
        <v>28</v>
      </c>
      <c r="L26" s="178"/>
      <c r="M26" s="180"/>
      <c r="N26" s="181"/>
      <c r="O26" s="182"/>
      <c r="P26" s="182"/>
      <c r="Q26" s="45" t="s">
        <v>49</v>
      </c>
      <c r="R26" s="78"/>
    </row>
    <row r="27" ht="15.75" customHeight="1" spans="1:18" x14ac:dyDescent="0.25">
      <c r="A27" s="151"/>
      <c r="B27" s="42">
        <f t="shared" si="0"/>
        <v>20</v>
      </c>
      <c r="C27" s="172"/>
      <c r="D27" s="173"/>
      <c r="E27" s="173" t="s">
        <v>80</v>
      </c>
      <c r="F27" s="175"/>
      <c r="G27" s="176"/>
      <c r="H27" s="177"/>
      <c r="I27" s="178"/>
      <c r="J27" s="179"/>
      <c r="K27" s="180" t="s">
        <v>28</v>
      </c>
      <c r="L27" s="178"/>
      <c r="M27" s="180"/>
      <c r="N27" s="181"/>
      <c r="O27" s="182"/>
      <c r="P27" s="182"/>
      <c r="Q27" s="45" t="s">
        <v>49</v>
      </c>
      <c r="R27" s="78"/>
    </row>
    <row r="28" ht="15.75" customHeight="1" spans="1:18" x14ac:dyDescent="0.25">
      <c r="A28" s="151"/>
      <c r="B28" s="42">
        <f t="shared" si="0"/>
        <v>21</v>
      </c>
      <c r="C28" s="172"/>
      <c r="D28" s="173"/>
      <c r="E28" s="174" t="s">
        <v>80</v>
      </c>
      <c r="F28" s="175"/>
      <c r="G28" s="176"/>
      <c r="H28" s="177"/>
      <c r="I28" s="178"/>
      <c r="J28" s="179"/>
      <c r="K28" s="180" t="s">
        <v>28</v>
      </c>
      <c r="L28" s="178"/>
      <c r="M28" s="180"/>
      <c r="N28" s="181"/>
      <c r="O28" s="182"/>
      <c r="P28" s="182"/>
      <c r="Q28" s="45" t="s">
        <v>49</v>
      </c>
      <c r="R28" s="78"/>
    </row>
    <row r="29" ht="15.75" customHeight="1" spans="1:18" x14ac:dyDescent="0.25">
      <c r="A29" s="151"/>
      <c r="B29" s="42">
        <f t="shared" si="0"/>
        <v>22</v>
      </c>
      <c r="C29" s="172"/>
      <c r="D29" s="173"/>
      <c r="E29" s="173" t="s">
        <v>80</v>
      </c>
      <c r="F29" s="175"/>
      <c r="G29" s="176"/>
      <c r="H29" s="177"/>
      <c r="I29" s="178"/>
      <c r="J29" s="179"/>
      <c r="K29" s="180" t="s">
        <v>28</v>
      </c>
      <c r="L29" s="178"/>
      <c r="M29" s="180"/>
      <c r="N29" s="181"/>
      <c r="O29" s="182"/>
      <c r="P29" s="182"/>
      <c r="Q29" s="45" t="s">
        <v>49</v>
      </c>
      <c r="R29" s="78"/>
    </row>
    <row r="30" ht="15.75" customHeight="1" spans="1:18" x14ac:dyDescent="0.25">
      <c r="A30" s="151"/>
      <c r="B30" s="42">
        <f t="shared" si="0"/>
        <v>23</v>
      </c>
      <c r="C30" s="172"/>
      <c r="D30" s="173"/>
      <c r="E30" s="174" t="s">
        <v>80</v>
      </c>
      <c r="F30" s="175"/>
      <c r="G30" s="176"/>
      <c r="H30" s="177"/>
      <c r="I30" s="178"/>
      <c r="J30" s="179"/>
      <c r="K30" s="180" t="s">
        <v>28</v>
      </c>
      <c r="L30" s="178"/>
      <c r="M30" s="180"/>
      <c r="N30" s="181"/>
      <c r="O30" s="182"/>
      <c r="P30" s="182"/>
      <c r="Q30" s="45" t="s">
        <v>49</v>
      </c>
      <c r="R30" s="78"/>
    </row>
    <row r="31" ht="15.75" customHeight="1" spans="1:18" x14ac:dyDescent="0.25">
      <c r="A31" s="151"/>
      <c r="B31" s="42">
        <f t="shared" si="0"/>
        <v>24</v>
      </c>
      <c r="C31" s="172"/>
      <c r="D31" s="173"/>
      <c r="E31" s="173" t="s">
        <v>80</v>
      </c>
      <c r="F31" s="175"/>
      <c r="G31" s="176"/>
      <c r="H31" s="177"/>
      <c r="I31" s="178"/>
      <c r="J31" s="179"/>
      <c r="K31" s="180" t="s">
        <v>28</v>
      </c>
      <c r="L31" s="178"/>
      <c r="M31" s="180"/>
      <c r="N31" s="181"/>
      <c r="O31" s="182"/>
      <c r="P31" s="182"/>
      <c r="Q31" s="45" t="s">
        <v>49</v>
      </c>
      <c r="R31" s="78"/>
    </row>
    <row r="32" ht="15.75" customHeight="1" spans="1:18" x14ac:dyDescent="0.25">
      <c r="A32" s="151"/>
      <c r="B32" s="42">
        <f t="shared" si="0"/>
        <v>25</v>
      </c>
      <c r="C32" s="172"/>
      <c r="D32" s="173"/>
      <c r="E32" s="174" t="s">
        <v>80</v>
      </c>
      <c r="F32" s="175"/>
      <c r="G32" s="176"/>
      <c r="H32" s="177"/>
      <c r="I32" s="178"/>
      <c r="J32" s="179"/>
      <c r="K32" s="180" t="s">
        <v>28</v>
      </c>
      <c r="L32" s="178"/>
      <c r="M32" s="180"/>
      <c r="N32" s="181"/>
      <c r="O32" s="182"/>
      <c r="P32" s="182"/>
      <c r="Q32" s="45" t="s">
        <v>49</v>
      </c>
      <c r="R32" s="78"/>
    </row>
    <row r="33" ht="15.75" customHeight="1" spans="1:18" x14ac:dyDescent="0.25">
      <c r="A33" s="151"/>
      <c r="B33" s="42">
        <f t="shared" si="0"/>
        <v>26</v>
      </c>
      <c r="C33" s="172"/>
      <c r="D33" s="173"/>
      <c r="E33" s="173" t="s">
        <v>80</v>
      </c>
      <c r="F33" s="175"/>
      <c r="G33" s="176"/>
      <c r="H33" s="177"/>
      <c r="I33" s="178"/>
      <c r="J33" s="179"/>
      <c r="K33" s="180" t="s">
        <v>28</v>
      </c>
      <c r="L33" s="178"/>
      <c r="M33" s="180"/>
      <c r="N33" s="181"/>
      <c r="O33" s="182"/>
      <c r="P33" s="182"/>
      <c r="Q33" s="45" t="s">
        <v>49</v>
      </c>
      <c r="R33" s="78"/>
    </row>
    <row r="34" ht="15.75" customHeight="1" spans="1:18" x14ac:dyDescent="0.25">
      <c r="A34" s="151"/>
      <c r="B34" s="42">
        <f t="shared" si="0"/>
        <v>27</v>
      </c>
      <c r="C34" s="172"/>
      <c r="D34" s="173"/>
      <c r="E34" s="174" t="s">
        <v>80</v>
      </c>
      <c r="F34" s="175"/>
      <c r="G34" s="176"/>
      <c r="H34" s="177"/>
      <c r="I34" s="178"/>
      <c r="J34" s="179"/>
      <c r="K34" s="180" t="s">
        <v>28</v>
      </c>
      <c r="L34" s="178"/>
      <c r="M34" s="180"/>
      <c r="N34" s="181"/>
      <c r="O34" s="182"/>
      <c r="P34" s="182"/>
      <c r="Q34" s="45" t="s">
        <v>49</v>
      </c>
      <c r="R34" s="78"/>
    </row>
    <row r="35" ht="15.75" customHeight="1" spans="1:18" x14ac:dyDescent="0.25">
      <c r="A35" s="151"/>
      <c r="B35" s="42">
        <f t="shared" si="0"/>
        <v>28</v>
      </c>
      <c r="C35" s="172"/>
      <c r="D35" s="173"/>
      <c r="E35" s="173" t="s">
        <v>80</v>
      </c>
      <c r="F35" s="175"/>
      <c r="G35" s="176"/>
      <c r="H35" s="177"/>
      <c r="I35" s="178"/>
      <c r="J35" s="179"/>
      <c r="K35" s="180" t="s">
        <v>28</v>
      </c>
      <c r="L35" s="178"/>
      <c r="M35" s="180"/>
      <c r="N35" s="181"/>
      <c r="O35" s="182"/>
      <c r="P35" s="182"/>
      <c r="Q35" s="45" t="s">
        <v>49</v>
      </c>
      <c r="R35" s="78"/>
    </row>
    <row r="36" ht="15.75" customHeight="1" spans="1:18" x14ac:dyDescent="0.25">
      <c r="A36" s="151"/>
      <c r="B36" s="42">
        <f t="shared" si="0"/>
        <v>29</v>
      </c>
      <c r="C36" s="172"/>
      <c r="D36" s="173"/>
      <c r="E36" s="174" t="s">
        <v>80</v>
      </c>
      <c r="F36" s="175"/>
      <c r="G36" s="176"/>
      <c r="H36" s="177"/>
      <c r="I36" s="178"/>
      <c r="J36" s="179"/>
      <c r="K36" s="180" t="s">
        <v>28</v>
      </c>
      <c r="L36" s="178"/>
      <c r="M36" s="180"/>
      <c r="N36" s="181"/>
      <c r="O36" s="182"/>
      <c r="P36" s="182"/>
      <c r="Q36" s="45" t="s">
        <v>49</v>
      </c>
      <c r="R36" s="78"/>
    </row>
    <row r="37" ht="15.75" customHeight="1" spans="1:18" x14ac:dyDescent="0.25">
      <c r="A37" s="151"/>
      <c r="B37" s="42">
        <f t="shared" si="0"/>
        <v>30</v>
      </c>
      <c r="C37" s="172"/>
      <c r="D37" s="173"/>
      <c r="E37" s="174" t="s">
        <v>80</v>
      </c>
      <c r="F37" s="175"/>
      <c r="G37" s="176"/>
      <c r="H37" s="177"/>
      <c r="I37" s="178"/>
      <c r="J37" s="179"/>
      <c r="K37" s="180" t="s">
        <v>28</v>
      </c>
      <c r="L37" s="178"/>
      <c r="M37" s="180"/>
      <c r="N37" s="181"/>
      <c r="O37" s="182"/>
      <c r="P37" s="182"/>
      <c r="Q37" s="45" t="s">
        <v>49</v>
      </c>
      <c r="R37" s="78"/>
    </row>
    <row r="38" ht="15.75" customHeight="1" spans="1:18" x14ac:dyDescent="0.25">
      <c r="A38" s="151"/>
      <c r="B38" s="42">
        <f t="shared" si="0"/>
        <v>31</v>
      </c>
      <c r="C38" s="172"/>
      <c r="D38" s="173"/>
      <c r="E38" s="173" t="s">
        <v>80</v>
      </c>
      <c r="F38" s="175"/>
      <c r="G38" s="176"/>
      <c r="H38" s="177"/>
      <c r="I38" s="178"/>
      <c r="J38" s="179"/>
      <c r="K38" s="180" t="s">
        <v>28</v>
      </c>
      <c r="L38" s="178"/>
      <c r="M38" s="180"/>
      <c r="N38" s="181"/>
      <c r="O38" s="182"/>
      <c r="P38" s="182"/>
      <c r="Q38" s="45" t="s">
        <v>49</v>
      </c>
      <c r="R38" s="78"/>
    </row>
    <row r="39" ht="15.75" customHeight="1" spans="1:18" x14ac:dyDescent="0.25">
      <c r="A39" s="151"/>
      <c r="B39" s="42">
        <f t="shared" si="0"/>
        <v>32</v>
      </c>
      <c r="C39" s="172"/>
      <c r="D39" s="173"/>
      <c r="E39" s="174" t="s">
        <v>80</v>
      </c>
      <c r="F39" s="175"/>
      <c r="G39" s="176"/>
      <c r="H39" s="177"/>
      <c r="I39" s="178"/>
      <c r="J39" s="179"/>
      <c r="K39" s="180" t="s">
        <v>28</v>
      </c>
      <c r="L39" s="178"/>
      <c r="M39" s="180"/>
      <c r="N39" s="181"/>
      <c r="O39" s="182"/>
      <c r="P39" s="182"/>
      <c r="Q39" s="45" t="s">
        <v>49</v>
      </c>
      <c r="R39" s="78"/>
    </row>
    <row r="40" ht="15.75" customHeight="1" spans="1:18" x14ac:dyDescent="0.25">
      <c r="A40" s="151"/>
      <c r="B40" s="42">
        <f t="shared" si="0"/>
        <v>33</v>
      </c>
      <c r="C40" s="172"/>
      <c r="D40" s="173"/>
      <c r="E40" s="173" t="s">
        <v>80</v>
      </c>
      <c r="F40" s="175"/>
      <c r="G40" s="176"/>
      <c r="H40" s="177"/>
      <c r="I40" s="178"/>
      <c r="J40" s="179"/>
      <c r="K40" s="180" t="s">
        <v>28</v>
      </c>
      <c r="L40" s="178"/>
      <c r="M40" s="180"/>
      <c r="N40" s="181"/>
      <c r="O40" s="182"/>
      <c r="P40" s="182"/>
      <c r="Q40" s="45" t="s">
        <v>49</v>
      </c>
      <c r="R40" s="78"/>
    </row>
    <row r="41" ht="15.75" customHeight="1" spans="1:18" x14ac:dyDescent="0.25">
      <c r="A41" s="151"/>
      <c r="B41" s="42">
        <f t="shared" si="0"/>
        <v>34</v>
      </c>
      <c r="C41" s="172"/>
      <c r="D41" s="173"/>
      <c r="E41" s="173" t="s">
        <v>80</v>
      </c>
      <c r="F41" s="175"/>
      <c r="G41" s="176"/>
      <c r="H41" s="177"/>
      <c r="I41" s="178"/>
      <c r="J41" s="179"/>
      <c r="K41" s="180" t="s">
        <v>28</v>
      </c>
      <c r="L41" s="178"/>
      <c r="M41" s="180"/>
      <c r="N41" s="181"/>
      <c r="O41" s="182"/>
      <c r="P41" s="182"/>
      <c r="Q41" s="45" t="s">
        <v>49</v>
      </c>
      <c r="R41" s="78"/>
    </row>
    <row r="42" ht="15.75" customHeight="1" spans="1:18" x14ac:dyDescent="0.25">
      <c r="A42" s="151"/>
      <c r="B42" s="42">
        <f t="shared" si="0"/>
        <v>35</v>
      </c>
      <c r="C42" s="172"/>
      <c r="D42" s="173"/>
      <c r="E42" s="174" t="s">
        <v>80</v>
      </c>
      <c r="F42" s="175"/>
      <c r="G42" s="176"/>
      <c r="H42" s="177"/>
      <c r="I42" s="178"/>
      <c r="J42" s="179"/>
      <c r="K42" s="180" t="s">
        <v>28</v>
      </c>
      <c r="L42" s="178"/>
      <c r="M42" s="180"/>
      <c r="N42" s="181"/>
      <c r="O42" s="182"/>
      <c r="P42" s="182"/>
      <c r="Q42" s="45" t="s">
        <v>49</v>
      </c>
      <c r="R42" s="78"/>
    </row>
    <row r="43" ht="15.75" customHeight="1" spans="1:18" x14ac:dyDescent="0.25">
      <c r="A43" s="151"/>
      <c r="B43" s="42">
        <f t="shared" si="0"/>
        <v>36</v>
      </c>
      <c r="C43" s="172"/>
      <c r="D43" s="173"/>
      <c r="E43" s="173" t="s">
        <v>80</v>
      </c>
      <c r="F43" s="175"/>
      <c r="G43" s="176"/>
      <c r="H43" s="177"/>
      <c r="I43" s="178"/>
      <c r="J43" s="179"/>
      <c r="K43" s="180" t="s">
        <v>28</v>
      </c>
      <c r="L43" s="178"/>
      <c r="M43" s="180"/>
      <c r="N43" s="181"/>
      <c r="O43" s="182"/>
      <c r="P43" s="182"/>
      <c r="Q43" s="45" t="s">
        <v>49</v>
      </c>
      <c r="R43" s="78"/>
    </row>
    <row r="44" ht="15.75" customHeight="1" spans="1:18" x14ac:dyDescent="0.25">
      <c r="A44" s="151"/>
      <c r="B44" s="42">
        <f t="shared" si="0"/>
        <v>37</v>
      </c>
      <c r="C44" s="172"/>
      <c r="D44" s="173"/>
      <c r="E44" s="174" t="s">
        <v>80</v>
      </c>
      <c r="F44" s="175"/>
      <c r="G44" s="176"/>
      <c r="H44" s="177"/>
      <c r="I44" s="178"/>
      <c r="J44" s="179"/>
      <c r="K44" s="180" t="s">
        <v>28</v>
      </c>
      <c r="L44" s="178"/>
      <c r="M44" s="180"/>
      <c r="N44" s="181"/>
      <c r="O44" s="182"/>
      <c r="P44" s="182"/>
      <c r="Q44" s="45" t="s">
        <v>49</v>
      </c>
      <c r="R44" s="78"/>
    </row>
    <row r="45" ht="15.75" customHeight="1" spans="1:18" x14ac:dyDescent="0.25">
      <c r="A45" s="151"/>
      <c r="B45" s="42">
        <f t="shared" si="0"/>
        <v>38</v>
      </c>
      <c r="C45" s="172"/>
      <c r="D45" s="173"/>
      <c r="E45" s="173" t="s">
        <v>80</v>
      </c>
      <c r="F45" s="175"/>
      <c r="G45" s="176"/>
      <c r="H45" s="177"/>
      <c r="I45" s="178"/>
      <c r="J45" s="179"/>
      <c r="K45" s="180" t="s">
        <v>28</v>
      </c>
      <c r="L45" s="178"/>
      <c r="M45" s="180"/>
      <c r="N45" s="181"/>
      <c r="O45" s="182"/>
      <c r="P45" s="182"/>
      <c r="Q45" s="45" t="s">
        <v>49</v>
      </c>
      <c r="R45" s="78"/>
    </row>
    <row r="46" ht="15.75" customHeight="1" spans="1:18" x14ac:dyDescent="0.25">
      <c r="A46" s="151"/>
      <c r="B46" s="42">
        <f t="shared" si="0"/>
        <v>39</v>
      </c>
      <c r="C46" s="172"/>
      <c r="D46" s="173"/>
      <c r="E46" s="174" t="s">
        <v>80</v>
      </c>
      <c r="F46" s="175"/>
      <c r="G46" s="176"/>
      <c r="H46" s="177"/>
      <c r="I46" s="178"/>
      <c r="J46" s="179"/>
      <c r="K46" s="180" t="s">
        <v>28</v>
      </c>
      <c r="L46" s="178"/>
      <c r="M46" s="180"/>
      <c r="N46" s="181"/>
      <c r="O46" s="182"/>
      <c r="P46" s="182"/>
      <c r="Q46" s="45" t="s">
        <v>49</v>
      </c>
      <c r="R46" s="78"/>
    </row>
    <row r="47" ht="15.75" customHeight="1" spans="1:18" x14ac:dyDescent="0.25">
      <c r="A47" s="151"/>
      <c r="B47" s="42">
        <f t="shared" si="0"/>
        <v>40</v>
      </c>
      <c r="C47" s="172"/>
      <c r="D47" s="173"/>
      <c r="E47" s="173" t="s">
        <v>80</v>
      </c>
      <c r="F47" s="175"/>
      <c r="G47" s="176"/>
      <c r="H47" s="177"/>
      <c r="I47" s="178"/>
      <c r="J47" s="179"/>
      <c r="K47" s="180" t="s">
        <v>28</v>
      </c>
      <c r="L47" s="178"/>
      <c r="M47" s="180"/>
      <c r="N47" s="181"/>
      <c r="O47" s="182"/>
      <c r="P47" s="182"/>
      <c r="Q47" s="45" t="s">
        <v>49</v>
      </c>
      <c r="R47" s="78"/>
    </row>
    <row r="48" ht="15.75" customHeight="1" spans="1:18" x14ac:dyDescent="0.25">
      <c r="A48" s="151"/>
      <c r="B48" s="155" t="s">
        <v>71</v>
      </c>
      <c r="C48" s="9"/>
      <c r="D48" s="9"/>
      <c r="E48" s="9"/>
      <c r="F48" s="9"/>
      <c r="G48" s="9"/>
      <c r="H48" s="9"/>
      <c r="I48" s="9"/>
      <c r="J48" s="9"/>
      <c r="K48" s="9"/>
      <c r="L48" s="9"/>
      <c r="M48" s="9"/>
      <c r="N48" s="9"/>
      <c r="O48" s="9"/>
      <c r="P48" s="9"/>
      <c r="Q48" s="10"/>
      <c r="R48" s="78"/>
    </row>
    <row r="49" ht="15.75" customHeight="1" spans="1:18" x14ac:dyDescent="0.25">
      <c r="A49" s="151"/>
      <c r="B49" s="42">
        <v>1</v>
      </c>
      <c r="C49" s="172"/>
      <c r="D49" s="173"/>
      <c r="E49" s="173" t="s">
        <v>80</v>
      </c>
      <c r="F49" s="175"/>
      <c r="G49" s="176">
        <v>0</v>
      </c>
      <c r="H49" s="177"/>
      <c r="I49" s="178"/>
      <c r="J49" s="179"/>
      <c r="K49" s="180" t="s">
        <v>28</v>
      </c>
      <c r="L49" s="92"/>
      <c r="M49" s="180"/>
      <c r="N49" s="181"/>
      <c r="O49" s="182"/>
      <c r="P49" s="182"/>
      <c r="Q49" s="45"/>
      <c r="R49" s="78"/>
    </row>
    <row r="50" ht="15.75" customHeight="1" spans="1:18" x14ac:dyDescent="0.25">
      <c r="A50" s="151"/>
      <c r="B50" s="42">
        <f t="shared" ref="B50:B53" si="1">B49+1</f>
        <v>2</v>
      </c>
      <c r="C50" s="172"/>
      <c r="D50" s="173"/>
      <c r="E50" s="173" t="s">
        <v>80</v>
      </c>
      <c r="F50" s="175"/>
      <c r="G50" s="176">
        <v>0</v>
      </c>
      <c r="H50" s="177"/>
      <c r="I50" s="178"/>
      <c r="J50" s="179"/>
      <c r="K50" s="180" t="s">
        <v>28</v>
      </c>
      <c r="L50" s="92"/>
      <c r="M50" s="180"/>
      <c r="N50" s="181"/>
      <c r="O50" s="182"/>
      <c r="P50" s="182"/>
      <c r="Q50" s="45"/>
      <c r="R50" s="78"/>
    </row>
    <row r="51" ht="15.75" customHeight="1" spans="1:18" x14ac:dyDescent="0.25">
      <c r="A51" s="151"/>
      <c r="B51" s="42">
        <f t="shared" si="1"/>
        <v>3</v>
      </c>
      <c r="C51" s="172"/>
      <c r="D51" s="173"/>
      <c r="E51" s="173" t="s">
        <v>80</v>
      </c>
      <c r="F51" s="175"/>
      <c r="G51" s="176">
        <v>0</v>
      </c>
      <c r="H51" s="177"/>
      <c r="I51" s="178"/>
      <c r="J51" s="179"/>
      <c r="K51" s="180" t="s">
        <v>28</v>
      </c>
      <c r="L51" s="92"/>
      <c r="M51" s="180"/>
      <c r="N51" s="181"/>
      <c r="O51" s="182"/>
      <c r="P51" s="182"/>
      <c r="Q51" s="45"/>
      <c r="R51" s="78"/>
    </row>
    <row r="52" ht="15.75" customHeight="1" spans="1:18" x14ac:dyDescent="0.25">
      <c r="A52" s="151"/>
      <c r="B52" s="42">
        <f t="shared" si="1"/>
        <v>4</v>
      </c>
      <c r="C52" s="172"/>
      <c r="D52" s="173"/>
      <c r="E52" s="173" t="s">
        <v>80</v>
      </c>
      <c r="F52" s="175"/>
      <c r="G52" s="176">
        <v>0</v>
      </c>
      <c r="H52" s="177"/>
      <c r="I52" s="178"/>
      <c r="J52" s="179"/>
      <c r="K52" s="180" t="s">
        <v>28</v>
      </c>
      <c r="L52" s="92"/>
      <c r="M52" s="180"/>
      <c r="N52" s="181"/>
      <c r="O52" s="182"/>
      <c r="P52" s="182"/>
      <c r="Q52" s="45"/>
      <c r="R52" s="78"/>
    </row>
    <row r="53" ht="15.75" customHeight="1" spans="1:18" x14ac:dyDescent="0.25">
      <c r="A53" s="151"/>
      <c r="B53" s="42">
        <f t="shared" si="1"/>
        <v>5</v>
      </c>
      <c r="C53" s="172"/>
      <c r="D53" s="173"/>
      <c r="E53" s="173" t="s">
        <v>80</v>
      </c>
      <c r="F53" s="175"/>
      <c r="G53" s="176">
        <v>0</v>
      </c>
      <c r="H53" s="177"/>
      <c r="I53" s="178"/>
      <c r="J53" s="179"/>
      <c r="K53" s="180" t="s">
        <v>28</v>
      </c>
      <c r="L53" s="92"/>
      <c r="M53" s="180"/>
      <c r="N53" s="181"/>
      <c r="O53" s="182"/>
      <c r="P53" s="182"/>
      <c r="Q53" s="45"/>
      <c r="R53" s="78"/>
    </row>
    <row r="54" ht="28.5" customHeight="1" spans="1:18" x14ac:dyDescent="0.25">
      <c r="A54" s="62"/>
      <c r="B54" s="4"/>
      <c r="C54" s="5"/>
      <c r="D54" s="4"/>
      <c r="E54" s="4"/>
      <c r="F54" s="185"/>
      <c r="G54" s="186"/>
      <c r="H54" s="186"/>
      <c r="I54" s="186"/>
      <c r="J54" s="185"/>
      <c r="K54" s="4"/>
      <c r="L54" s="4"/>
      <c r="M54" s="5"/>
      <c r="N54" s="4"/>
      <c r="O54" s="4"/>
      <c r="P54" s="4"/>
      <c r="Q54" s="4"/>
      <c r="R54" s="62"/>
    </row>
  </sheetData>
  <mergeCells count="8">
    <mergeCell ref="B2:Q2"/>
    <mergeCell ref="B4:D4"/>
    <mergeCell ref="G4:H4"/>
    <mergeCell ref="K4:M4"/>
    <mergeCell ref="B6:G6"/>
    <mergeCell ref="H6:J6"/>
    <mergeCell ref="K6:Q6"/>
    <mergeCell ref="B48:Q48"/>
  </mergeCells>
  <conditionalFormatting sqref="I8:J47 I49:J53">
    <cfRule type="containsBlanks" dxfId="42" priority="19" operator="containsBlanks">
      <formula>LEN(TRIM(I8))=0</formula>
    </cfRule>
  </conditionalFormatting>
  <conditionalFormatting sqref="I8:Q47 I49:Q53">
    <cfRule type="containsBlanks" dxfId="43" priority="18" operator="containsBlanks">
      <formula>LEN(TRIM(I8))=0</formula>
    </cfRule>
  </conditionalFormatting>
  <conditionalFormatting sqref="K8:K47 Q8:Q47 K49:K53 Q49:Q53">
    <cfRule type="cellIs" dxfId="44" priority="13" operator="equal">
      <formula>"Aprobado"</formula>
    </cfRule>
    <cfRule type="cellIs" dxfId="45" priority="14" operator="equal">
      <formula>"Aprobado parcial."</formula>
    </cfRule>
    <cfRule type="cellIs" dxfId="46" priority="15" operator="equal">
      <formula>"Rechazado"</formula>
    </cfRule>
    <cfRule type="cellIs" dxfId="47" priority="16" operator="equal">
      <formula>"Pendiente"</formula>
    </cfRule>
  </conditionalFormatting>
  <conditionalFormatting sqref="Q8:Q47 Q49:Q53">
    <cfRule type="cellIs" dxfId="48" priority="1" operator="equal">
      <formula>"Fallecido/a"</formula>
    </cfRule>
    <cfRule type="cellIs" dxfId="49" priority="2" operator="equal">
      <formula>"Destinación"</formula>
    </cfRule>
    <cfRule type="cellIs" dxfId="50" priority="3" operator="equal">
      <formula>"Sin efecto"</formula>
    </cfRule>
    <cfRule type="cellIs" dxfId="51" priority="4" operator="equal">
      <formula>"Vigente"</formula>
    </cfRule>
    <cfRule type="cellIs" dxfId="52" priority="5" operator="equal">
      <formula>"Renuncia"</formula>
    </cfRule>
    <cfRule type="cellIs" dxfId="53" priority="6" operator="equal">
      <formula>"Renuncia parcial"</formula>
    </cfRule>
    <cfRule type="cellIs" dxfId="54" priority="7" operator="equal">
      <formula>"Reubicación"</formula>
    </cfRule>
    <cfRule type="cellIs" dxfId="55" priority="8" operator="equal">
      <formula>"Cese"</formula>
    </cfRule>
    <cfRule type="cellIs" dxfId="56" priority="9" operator="equal">
      <formula>"Defunción"</formula>
    </cfRule>
    <cfRule type="cellIs" dxfId="57" priority="10" operator="equal">
      <formula>"Cambio fondo"</formula>
    </cfRule>
    <cfRule type="cellIs" dxfId="58" priority="11" operator="equal">
      <formula>"No asume"</formula>
    </cfRule>
  </conditionalFormatting>
  <dataValidations count="12">
    <dataValidation type="list" allowBlank="1" sqref="F10:F47">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F49:F53">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F8:F47">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H10:H47">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H49:H53">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H8:H47">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K10:K47">
      <formula1>"Aprobado,Aprobado parcial.,Rechazado,Pendiente"</formula1>
    </dataValidation>
    <dataValidation type="list" allowBlank="1" sqref="K49:K53">
      <formula1>"Aprobado,Aprobado parcial.,Rechazado,Pendiente"</formula1>
    </dataValidation>
    <dataValidation type="list" allowBlank="1" sqref="K8:K47">
      <formula1>"Aprobado,Aprobado parcial.,Rechazado,Pendiente"</formula1>
    </dataValidation>
    <dataValidation type="list" allowBlank="1" sqref="Q10:Q47">
      <formula1>"Vigente,Renuncia,Pendiente,Cese,Defunción,Renuncia parcial,Cambio fondo,No asume,Sin efecto,Fallecido/a,Destinación"</formula1>
    </dataValidation>
    <dataValidation type="list" allowBlank="1" sqref="Q49:Q53">
      <formula1>"Vigente,Renuncia,Pendiente,Cese,Defunción,Renuncia parcial,Cambio fondo,No asume,Sin efecto,Fallecido/a,Destinación"</formula1>
    </dataValidation>
    <dataValidation type="list" allowBlank="1" sqref="Q8:Q47">
      <formula1>"Vigente,Renuncia,Pendiente,Cese,Defunción,Renuncia parcial,Cambio fondo,No asume,Sin efecto,Fallecido/a,Destinación"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T83"/>
  <sheetViews>
    <sheetView workbookViewId="0" zoomScale="100" zoomScaleNormal="100">
      <pane ySplit="2" topLeftCell="A3" activePane="bottomLeft" state="frozen"/>
      <selection pane="bottomLeft" activeCell="B4" sqref="B4"/>
    </sheetView>
  </sheetViews>
  <sheetFormatPr defaultRowHeight="15" outlineLevelRow="0" outlineLevelCol="0" x14ac:dyDescent="0.3" defaultColWidth="14.3984375"/>
  <cols>
    <col min="1" max="2" width="4.09765625" customWidth="1"/>
    <col min="3" max="3" width="20.69921875" customWidth="1"/>
    <col min="4" max="4" width="11" customWidth="1"/>
    <col min="5" max="5" width="11.3984375" customWidth="1"/>
    <col min="6" max="6" width="4.59765625" customWidth="1"/>
    <col min="7" max="7" width="19.3984375" customWidth="1"/>
    <col min="8" max="8" width="4.59765625" customWidth="1"/>
    <col min="9" max="9" width="8.09765625" customWidth="1"/>
    <col min="10" max="11" width="8.8984375" customWidth="1"/>
    <col min="12" max="12" width="21.69921875" customWidth="1"/>
    <col min="13" max="13" width="13.09765625" customWidth="1"/>
    <col min="14" max="14" width="8.69921875" customWidth="1"/>
    <col min="15" max="15" width="17.69921875" customWidth="1"/>
    <col min="16" max="16" width="6.59765625" customWidth="1"/>
    <col min="17" max="18" width="10.296875" customWidth="1"/>
    <col min="19" max="19" width="11.8984375" customWidth="1"/>
    <col min="20" max="20" width="4.09765625" customWidth="1"/>
  </cols>
  <sheetData>
    <row r="1" ht="11.25" customHeight="1" spans="1:20" x14ac:dyDescent="0.25">
      <c r="A1" s="1"/>
      <c r="B1" s="74"/>
      <c r="C1" s="98"/>
      <c r="D1" s="97"/>
      <c r="E1" s="98"/>
      <c r="F1" s="97"/>
      <c r="G1" s="97"/>
      <c r="H1" s="97"/>
      <c r="I1" s="97"/>
      <c r="J1" s="97"/>
      <c r="K1" s="97"/>
      <c r="L1" s="98"/>
      <c r="M1" s="97"/>
      <c r="N1" s="97"/>
      <c r="O1" s="98"/>
      <c r="P1" s="97"/>
      <c r="Q1" s="97"/>
      <c r="R1" s="97"/>
      <c r="S1" s="187"/>
      <c r="T1" s="1"/>
    </row>
    <row r="2" ht="15.75" customHeight="1" spans="1:20" x14ac:dyDescent="0.25">
      <c r="A2" s="7"/>
      <c r="B2" s="188" t="s">
        <v>81</v>
      </c>
      <c r="C2" s="9"/>
      <c r="D2" s="9"/>
      <c r="E2" s="9"/>
      <c r="F2" s="9"/>
      <c r="G2" s="9"/>
      <c r="H2" s="9"/>
      <c r="I2" s="9"/>
      <c r="J2" s="9"/>
      <c r="K2" s="9"/>
      <c r="L2" s="9"/>
      <c r="M2" s="9"/>
      <c r="N2" s="9"/>
      <c r="O2" s="9"/>
      <c r="P2" s="9"/>
      <c r="Q2" s="9"/>
      <c r="R2" s="9"/>
      <c r="S2" s="10"/>
      <c r="T2" s="1"/>
    </row>
    <row r="3" ht="14.25" customHeight="1" spans="1:20" x14ac:dyDescent="0.25">
      <c r="A3" s="1"/>
      <c r="B3" s="15"/>
      <c r="C3" s="3"/>
      <c r="D3" s="2"/>
      <c r="E3" s="3"/>
      <c r="F3" s="2"/>
      <c r="G3" s="2"/>
      <c r="H3" s="2"/>
      <c r="I3" s="5"/>
      <c r="J3" s="2"/>
      <c r="K3" s="2"/>
      <c r="L3" s="3"/>
      <c r="M3" s="2"/>
      <c r="N3" s="5"/>
      <c r="O3" s="3"/>
      <c r="P3" s="2"/>
      <c r="Q3" s="4"/>
      <c r="R3" s="4"/>
      <c r="S3" s="162"/>
      <c r="T3" s="1"/>
    </row>
    <row r="4" ht="14.25" customHeight="1" spans="1:20" x14ac:dyDescent="0.25">
      <c r="A4" s="7"/>
      <c r="B4" s="189" t="s">
        <v>82</v>
      </c>
      <c r="C4" s="9"/>
      <c r="D4" s="9"/>
      <c r="E4" s="9"/>
      <c r="F4" s="9"/>
      <c r="G4" s="9"/>
      <c r="H4" s="9"/>
      <c r="I4" s="9"/>
      <c r="J4" s="9"/>
      <c r="K4" s="9"/>
      <c r="L4" s="9"/>
      <c r="M4" s="9"/>
      <c r="N4" s="9"/>
      <c r="O4" s="9"/>
      <c r="P4" s="9"/>
      <c r="Q4" s="9"/>
      <c r="R4" s="9"/>
      <c r="S4" s="10"/>
      <c r="T4" s="1"/>
    </row>
    <row r="5" ht="9.75" customHeight="1" spans="1:20" x14ac:dyDescent="0.25">
      <c r="A5" s="1"/>
      <c r="B5" s="2"/>
      <c r="C5" s="3"/>
      <c r="D5" s="2"/>
      <c r="E5" s="3"/>
      <c r="F5" s="2"/>
      <c r="G5" s="2"/>
      <c r="H5" s="2"/>
      <c r="I5" s="68"/>
      <c r="J5" s="2"/>
      <c r="K5" s="2"/>
      <c r="L5" s="3"/>
      <c r="M5" s="154"/>
      <c r="N5" s="14"/>
      <c r="O5" s="13"/>
      <c r="P5" s="15"/>
      <c r="Q5" s="190"/>
      <c r="R5" s="191"/>
      <c r="S5" s="191"/>
      <c r="T5" s="1"/>
    </row>
    <row r="6" ht="15.75" customHeight="1" spans="1:20" x14ac:dyDescent="0.25">
      <c r="A6" s="7"/>
      <c r="B6" s="192" t="s">
        <v>83</v>
      </c>
      <c r="C6" s="9"/>
      <c r="D6" s="10"/>
      <c r="E6" s="18" t="s">
        <v>84</v>
      </c>
      <c r="F6" s="19">
        <f>SUM(I10:I12)</f>
        <v>0</v>
      </c>
      <c r="G6" s="18" t="s">
        <v>4</v>
      </c>
      <c r="H6" s="193">
        <f>SUM(J10:J12)</f>
        <v>0</v>
      </c>
      <c r="I6" s="20"/>
      <c r="J6" s="21" t="s">
        <v>5</v>
      </c>
      <c r="K6" s="10"/>
      <c r="L6" s="194" t="str">
        <f>IF(F6&lt;&gt;H6,"Revisar","Correcto")</f>
        <v>Correcto</v>
      </c>
      <c r="M6" s="23"/>
      <c r="N6" s="21" t="s">
        <v>85</v>
      </c>
      <c r="O6" s="9"/>
      <c r="P6" s="9"/>
      <c r="Q6" s="10"/>
      <c r="R6" s="195">
        <f>SUM(N10:N12)</f>
        <v>0</v>
      </c>
      <c r="S6" s="120"/>
      <c r="T6" s="1"/>
    </row>
    <row r="7" ht="9.75" customHeight="1" spans="1:20" x14ac:dyDescent="0.25">
      <c r="A7" s="1"/>
      <c r="B7" s="2"/>
      <c r="C7" s="3"/>
      <c r="D7" s="2"/>
      <c r="E7" s="3"/>
      <c r="F7" s="2"/>
      <c r="G7" s="2"/>
      <c r="H7" s="2"/>
      <c r="I7" s="68"/>
      <c r="J7" s="2"/>
      <c r="K7" s="2"/>
      <c r="L7" s="3"/>
      <c r="M7" s="154"/>
      <c r="N7" s="14"/>
      <c r="O7" s="13"/>
      <c r="P7" s="15"/>
      <c r="Q7" s="190"/>
      <c r="R7" s="191"/>
      <c r="S7" s="120"/>
      <c r="T7" s="1"/>
    </row>
    <row r="8" ht="13.5" customHeight="1" spans="1:20" x14ac:dyDescent="0.25">
      <c r="A8" s="7"/>
      <c r="B8" s="196" t="s">
        <v>8</v>
      </c>
      <c r="C8" s="9"/>
      <c r="D8" s="9"/>
      <c r="E8" s="9"/>
      <c r="F8" s="9"/>
      <c r="G8" s="9"/>
      <c r="H8" s="9"/>
      <c r="I8" s="9"/>
      <c r="J8" s="9"/>
      <c r="K8" s="9"/>
      <c r="L8" s="10"/>
      <c r="M8" s="134" t="s">
        <v>9</v>
      </c>
      <c r="N8" s="9"/>
      <c r="O8" s="9"/>
      <c r="P8" s="9"/>
      <c r="Q8" s="9"/>
      <c r="R8" s="9"/>
      <c r="S8" s="10"/>
      <c r="T8" s="1"/>
    </row>
    <row r="9" ht="20.25" customHeight="1" spans="1:20" x14ac:dyDescent="0.25">
      <c r="A9" s="7"/>
      <c r="B9" s="167" t="s">
        <v>10</v>
      </c>
      <c r="C9" s="31" t="s">
        <v>11</v>
      </c>
      <c r="D9" s="31" t="s">
        <v>12</v>
      </c>
      <c r="E9" s="197" t="s">
        <v>86</v>
      </c>
      <c r="F9" s="198"/>
      <c r="G9" s="199" t="s">
        <v>87</v>
      </c>
      <c r="H9" s="200"/>
      <c r="I9" s="167" t="s">
        <v>88</v>
      </c>
      <c r="J9" s="167" t="s">
        <v>78</v>
      </c>
      <c r="K9" s="167" t="s">
        <v>89</v>
      </c>
      <c r="L9" s="167" t="s">
        <v>79</v>
      </c>
      <c r="M9" s="33" t="s">
        <v>20</v>
      </c>
      <c r="N9" s="34" t="s">
        <v>21</v>
      </c>
      <c r="O9" s="34" t="s">
        <v>22</v>
      </c>
      <c r="P9" s="35" t="s">
        <v>23</v>
      </c>
      <c r="Q9" s="33" t="s">
        <v>24</v>
      </c>
      <c r="R9" s="33" t="s">
        <v>25</v>
      </c>
      <c r="S9" s="33" t="s">
        <v>26</v>
      </c>
      <c r="T9" s="1"/>
    </row>
    <row r="10" ht="20.25" customHeight="1" spans="1:20" x14ac:dyDescent="0.25">
      <c r="A10" s="7"/>
      <c r="B10" s="42">
        <v>1</v>
      </c>
      <c r="C10" s="183"/>
      <c r="D10" s="183"/>
      <c r="E10" s="201" t="s">
        <v>90</v>
      </c>
      <c r="F10" s="10"/>
      <c r="G10" s="202" t="s">
        <v>91</v>
      </c>
      <c r="H10" s="10"/>
      <c r="I10" s="203"/>
      <c r="J10" s="203"/>
      <c r="K10" s="203" t="str">
        <f t="shared" ref="K10:K12" si="0">IF(SUM(J10)&lt;&gt;I10,"Revisar","Correcto")</f>
        <v>Correcto</v>
      </c>
      <c r="L10" s="183"/>
      <c r="M10" s="204" t="s">
        <v>28</v>
      </c>
      <c r="N10" s="181"/>
      <c r="O10" s="181"/>
      <c r="P10" s="181"/>
      <c r="Q10" s="205"/>
      <c r="R10" s="205"/>
      <c r="S10" s="181"/>
      <c r="T10" s="11"/>
    </row>
    <row r="11" ht="20.25" customHeight="1" spans="1:20" x14ac:dyDescent="0.25">
      <c r="A11" s="7"/>
      <c r="B11" s="42">
        <f t="shared" ref="B11:B12" si="1">B10+1</f>
        <v>2</v>
      </c>
      <c r="C11" s="206"/>
      <c r="D11" s="206"/>
      <c r="E11" s="207" t="s">
        <v>90</v>
      </c>
      <c r="F11" s="10"/>
      <c r="G11" s="208" t="s">
        <v>91</v>
      </c>
      <c r="H11" s="10"/>
      <c r="I11" s="209"/>
      <c r="J11" s="209"/>
      <c r="K11" s="209" t="str">
        <f t="shared" si="0"/>
        <v>Correcto</v>
      </c>
      <c r="L11" s="183"/>
      <c r="M11" s="204" t="s">
        <v>28</v>
      </c>
      <c r="N11" s="181"/>
      <c r="O11" s="181"/>
      <c r="P11" s="181"/>
      <c r="Q11" s="205"/>
      <c r="R11" s="205"/>
      <c r="S11" s="181"/>
      <c r="T11" s="11"/>
    </row>
    <row r="12" ht="20.25" customHeight="1" spans="1:20" x14ac:dyDescent="0.25">
      <c r="A12" s="7"/>
      <c r="B12" s="42">
        <f t="shared" si="1"/>
        <v>3</v>
      </c>
      <c r="C12" s="210"/>
      <c r="D12" s="210"/>
      <c r="E12" s="201"/>
      <c r="F12" s="10"/>
      <c r="G12" s="202" t="s">
        <v>91</v>
      </c>
      <c r="H12" s="10"/>
      <c r="I12" s="203"/>
      <c r="J12" s="203"/>
      <c r="K12" s="203" t="str">
        <f t="shared" si="0"/>
        <v>Correcto</v>
      </c>
      <c r="L12" s="183"/>
      <c r="M12" s="204" t="s">
        <v>28</v>
      </c>
      <c r="N12" s="181"/>
      <c r="O12" s="181"/>
      <c r="P12" s="181"/>
      <c r="Q12" s="205"/>
      <c r="R12" s="205"/>
      <c r="S12" s="181"/>
      <c r="T12" s="11"/>
    </row>
    <row r="13" ht="29.25" customHeight="1" spans="1:20" x14ac:dyDescent="0.25">
      <c r="A13" s="1"/>
      <c r="B13" s="2"/>
      <c r="C13" s="3"/>
      <c r="D13" s="2"/>
      <c r="E13" s="160"/>
      <c r="F13" s="211"/>
      <c r="G13" s="12"/>
      <c r="H13" s="211"/>
      <c r="I13" s="4"/>
      <c r="J13" s="2"/>
      <c r="K13" s="2"/>
      <c r="L13" s="3"/>
      <c r="M13" s="12"/>
      <c r="N13" s="211"/>
      <c r="O13" s="160"/>
      <c r="P13" s="211"/>
      <c r="Q13" s="12"/>
      <c r="R13" s="211"/>
      <c r="S13" s="2"/>
      <c r="T13" s="1"/>
    </row>
    <row r="14" ht="14.25" customHeight="1" spans="1:20" x14ac:dyDescent="0.25">
      <c r="A14" s="7"/>
      <c r="B14" s="212" t="s">
        <v>92</v>
      </c>
      <c r="C14" s="9"/>
      <c r="D14" s="9"/>
      <c r="E14" s="9"/>
      <c r="F14" s="9"/>
      <c r="G14" s="9"/>
      <c r="H14" s="9"/>
      <c r="I14" s="9"/>
      <c r="J14" s="9"/>
      <c r="K14" s="9"/>
      <c r="L14" s="9"/>
      <c r="M14" s="9"/>
      <c r="N14" s="9"/>
      <c r="O14" s="9"/>
      <c r="P14" s="9"/>
      <c r="Q14" s="9"/>
      <c r="R14" s="9"/>
      <c r="S14" s="10"/>
      <c r="T14" s="1"/>
    </row>
    <row r="15" ht="9.75" customHeight="1" spans="1:20" x14ac:dyDescent="0.25">
      <c r="A15" s="1"/>
      <c r="B15" s="2"/>
      <c r="C15" s="3"/>
      <c r="D15" s="2"/>
      <c r="E15" s="3"/>
      <c r="F15" s="2"/>
      <c r="G15" s="2"/>
      <c r="H15" s="2"/>
      <c r="I15" s="2"/>
      <c r="J15" s="2"/>
      <c r="K15" s="2"/>
      <c r="L15" s="3"/>
      <c r="M15" s="2"/>
      <c r="N15" s="2"/>
      <c r="O15" s="3"/>
      <c r="P15" s="2"/>
      <c r="Q15" s="2"/>
      <c r="R15" s="57"/>
      <c r="S15" s="191"/>
      <c r="T15" s="1"/>
    </row>
    <row r="16" ht="15.75" customHeight="1" spans="1:20" x14ac:dyDescent="0.25">
      <c r="A16" s="7"/>
      <c r="B16" s="213" t="s">
        <v>93</v>
      </c>
      <c r="C16" s="9"/>
      <c r="D16" s="10"/>
      <c r="E16" s="18" t="s">
        <v>84</v>
      </c>
      <c r="F16" s="19">
        <f>SUM(I20:I41)</f>
        <v>0</v>
      </c>
      <c r="G16" s="18" t="s">
        <v>4</v>
      </c>
      <c r="H16" s="193">
        <f>SUM(J20:J41)</f>
        <v>0</v>
      </c>
      <c r="I16" s="20"/>
      <c r="J16" s="21" t="s">
        <v>5</v>
      </c>
      <c r="K16" s="10"/>
      <c r="L16" s="194" t="str">
        <f>IF(F16&lt;&gt;H16,"Revisar","Correcto")</f>
        <v>Correcto</v>
      </c>
      <c r="M16" s="23"/>
      <c r="N16" s="21" t="s">
        <v>94</v>
      </c>
      <c r="O16" s="9"/>
      <c r="P16" s="9"/>
      <c r="Q16" s="10"/>
      <c r="R16" s="195">
        <f>SUM(N20:N41)</f>
        <v>0</v>
      </c>
      <c r="S16" s="120"/>
      <c r="T16" s="1"/>
    </row>
    <row r="17" ht="6.75" customHeight="1" spans="1:20" x14ac:dyDescent="0.25">
      <c r="A17" s="1"/>
      <c r="B17" s="2"/>
      <c r="C17" s="3"/>
      <c r="D17" s="2"/>
      <c r="E17" s="214"/>
      <c r="F17" s="2"/>
      <c r="G17" s="215"/>
      <c r="H17" s="2"/>
      <c r="I17" s="215"/>
      <c r="J17" s="2"/>
      <c r="K17" s="2"/>
      <c r="L17" s="3"/>
      <c r="M17" s="2"/>
      <c r="N17" s="2"/>
      <c r="O17" s="3"/>
      <c r="P17" s="2"/>
      <c r="Q17" s="2"/>
      <c r="R17" s="2"/>
      <c r="S17" s="120"/>
      <c r="T17" s="1"/>
    </row>
    <row r="18" ht="13.5" customHeight="1" spans="1:20" x14ac:dyDescent="0.25">
      <c r="A18" s="7"/>
      <c r="B18" s="216" t="s">
        <v>8</v>
      </c>
      <c r="C18" s="9"/>
      <c r="D18" s="9"/>
      <c r="E18" s="9"/>
      <c r="F18" s="9"/>
      <c r="G18" s="9"/>
      <c r="H18" s="9"/>
      <c r="I18" s="9"/>
      <c r="J18" s="9"/>
      <c r="K18" s="9"/>
      <c r="L18" s="10"/>
      <c r="M18" s="134" t="s">
        <v>9</v>
      </c>
      <c r="N18" s="9"/>
      <c r="O18" s="9"/>
      <c r="P18" s="9"/>
      <c r="Q18" s="9"/>
      <c r="R18" s="9"/>
      <c r="S18" s="10"/>
      <c r="T18" s="1"/>
    </row>
    <row r="19" ht="20.25" customHeight="1" spans="1:20" x14ac:dyDescent="0.25">
      <c r="A19" s="7"/>
      <c r="B19" s="167" t="s">
        <v>10</v>
      </c>
      <c r="C19" s="31" t="s">
        <v>11</v>
      </c>
      <c r="D19" s="31" t="s">
        <v>12</v>
      </c>
      <c r="E19" s="199" t="s">
        <v>86</v>
      </c>
      <c r="F19" s="200"/>
      <c r="G19" s="199" t="s">
        <v>87</v>
      </c>
      <c r="H19" s="200"/>
      <c r="I19" s="167" t="s">
        <v>88</v>
      </c>
      <c r="J19" s="167" t="s">
        <v>78</v>
      </c>
      <c r="K19" s="167" t="s">
        <v>89</v>
      </c>
      <c r="L19" s="167" t="s">
        <v>79</v>
      </c>
      <c r="M19" s="33" t="s">
        <v>20</v>
      </c>
      <c r="N19" s="34" t="s">
        <v>21</v>
      </c>
      <c r="O19" s="34" t="s">
        <v>22</v>
      </c>
      <c r="P19" s="35" t="s">
        <v>23</v>
      </c>
      <c r="Q19" s="33" t="s">
        <v>24</v>
      </c>
      <c r="R19" s="33" t="s">
        <v>25</v>
      </c>
      <c r="S19" s="33" t="s">
        <v>26</v>
      </c>
      <c r="T19" s="1"/>
    </row>
    <row r="20" ht="21" customHeight="1" spans="1:20" x14ac:dyDescent="0.25">
      <c r="A20" s="7"/>
      <c r="B20" s="42">
        <v>1</v>
      </c>
      <c r="C20" s="217"/>
      <c r="D20" s="210"/>
      <c r="E20" s="202"/>
      <c r="F20" s="10"/>
      <c r="G20" s="202" t="s">
        <v>95</v>
      </c>
      <c r="H20" s="10"/>
      <c r="I20" s="218"/>
      <c r="J20" s="203"/>
      <c r="K20" s="219" t="str">
        <f>IF(SUM(J20:J25)&lt;&gt;I20,"Revisar","Correcto")</f>
        <v>Correcto</v>
      </c>
      <c r="L20" s="41"/>
      <c r="M20" s="43" t="s">
        <v>28</v>
      </c>
      <c r="N20" s="92"/>
      <c r="O20" s="220"/>
      <c r="P20" s="92"/>
      <c r="Q20" s="44"/>
      <c r="R20" s="44"/>
      <c r="S20" s="45"/>
      <c r="T20" s="11"/>
    </row>
    <row r="21" ht="21" customHeight="1" spans="1:20" x14ac:dyDescent="0.25">
      <c r="A21" s="7"/>
      <c r="B21" s="42">
        <f t="shared" ref="B21:B41" si="2">B20+1</f>
        <v>2</v>
      </c>
      <c r="C21" s="217"/>
      <c r="D21" s="210"/>
      <c r="E21" s="202"/>
      <c r="F21" s="10"/>
      <c r="G21" s="202" t="s">
        <v>95</v>
      </c>
      <c r="H21" s="10"/>
      <c r="I21" s="221"/>
      <c r="J21" s="203"/>
      <c r="K21" s="221"/>
      <c r="L21" s="41"/>
      <c r="M21" s="43" t="s">
        <v>28</v>
      </c>
      <c r="N21" s="92"/>
      <c r="O21" s="220"/>
      <c r="P21" s="92"/>
      <c r="Q21" s="44"/>
      <c r="R21" s="44"/>
      <c r="S21" s="45"/>
      <c r="T21" s="11"/>
    </row>
    <row r="22" ht="21" customHeight="1" spans="1:20" x14ac:dyDescent="0.25">
      <c r="A22" s="7"/>
      <c r="B22" s="42">
        <f t="shared" si="2"/>
        <v>3</v>
      </c>
      <c r="C22" s="217"/>
      <c r="D22" s="210"/>
      <c r="E22" s="202"/>
      <c r="F22" s="10"/>
      <c r="G22" s="202" t="s">
        <v>95</v>
      </c>
      <c r="H22" s="10"/>
      <c r="I22" s="221"/>
      <c r="J22" s="203"/>
      <c r="K22" s="221"/>
      <c r="L22" s="41"/>
      <c r="M22" s="43" t="s">
        <v>28</v>
      </c>
      <c r="N22" s="92"/>
      <c r="O22" s="220"/>
      <c r="P22" s="92"/>
      <c r="Q22" s="44"/>
      <c r="R22" s="44"/>
      <c r="S22" s="45"/>
      <c r="T22" s="11"/>
    </row>
    <row r="23" ht="21" customHeight="1" spans="1:20" x14ac:dyDescent="0.25">
      <c r="A23" s="7"/>
      <c r="B23" s="42">
        <f t="shared" si="2"/>
        <v>4</v>
      </c>
      <c r="C23" s="217"/>
      <c r="D23" s="210"/>
      <c r="E23" s="202"/>
      <c r="F23" s="10"/>
      <c r="G23" s="202" t="s">
        <v>95</v>
      </c>
      <c r="H23" s="10"/>
      <c r="I23" s="221"/>
      <c r="J23" s="203"/>
      <c r="K23" s="221"/>
      <c r="L23" s="41"/>
      <c r="M23" s="43" t="s">
        <v>28</v>
      </c>
      <c r="N23" s="92"/>
      <c r="O23" s="220"/>
      <c r="P23" s="92"/>
      <c r="Q23" s="44"/>
      <c r="R23" s="44"/>
      <c r="S23" s="45"/>
      <c r="T23" s="11"/>
    </row>
    <row r="24" ht="21" customHeight="1" spans="1:20" x14ac:dyDescent="0.25">
      <c r="A24" s="7"/>
      <c r="B24" s="42">
        <f t="shared" si="2"/>
        <v>5</v>
      </c>
      <c r="C24" s="217"/>
      <c r="D24" s="210"/>
      <c r="E24" s="202"/>
      <c r="F24" s="10"/>
      <c r="G24" s="202" t="s">
        <v>95</v>
      </c>
      <c r="H24" s="10"/>
      <c r="I24" s="221"/>
      <c r="J24" s="203"/>
      <c r="K24" s="221"/>
      <c r="L24" s="41"/>
      <c r="M24" s="43" t="s">
        <v>28</v>
      </c>
      <c r="N24" s="92"/>
      <c r="O24" s="220"/>
      <c r="P24" s="92"/>
      <c r="Q24" s="44"/>
      <c r="R24" s="44"/>
      <c r="S24" s="45"/>
      <c r="T24" s="11"/>
    </row>
    <row r="25" ht="21" customHeight="1" spans="1:20" x14ac:dyDescent="0.25">
      <c r="A25" s="7"/>
      <c r="B25" s="42">
        <f t="shared" si="2"/>
        <v>6</v>
      </c>
      <c r="C25" s="217"/>
      <c r="D25" s="210"/>
      <c r="E25" s="202"/>
      <c r="F25" s="10"/>
      <c r="G25" s="202" t="s">
        <v>95</v>
      </c>
      <c r="H25" s="10"/>
      <c r="I25" s="222"/>
      <c r="J25" s="203"/>
      <c r="K25" s="222"/>
      <c r="L25" s="41"/>
      <c r="M25" s="43" t="s">
        <v>28</v>
      </c>
      <c r="N25" s="92"/>
      <c r="O25" s="220"/>
      <c r="P25" s="92"/>
      <c r="Q25" s="44"/>
      <c r="R25" s="44"/>
      <c r="S25" s="45"/>
      <c r="T25" s="11"/>
    </row>
    <row r="26" ht="21" customHeight="1" spans="1:20" x14ac:dyDescent="0.25">
      <c r="A26" s="7"/>
      <c r="B26" s="42">
        <f t="shared" si="2"/>
        <v>7</v>
      </c>
      <c r="C26" s="223"/>
      <c r="D26" s="206"/>
      <c r="E26" s="224"/>
      <c r="F26" s="10"/>
      <c r="G26" s="224" t="s">
        <v>95</v>
      </c>
      <c r="H26" s="10"/>
      <c r="I26" s="225"/>
      <c r="J26" s="209"/>
      <c r="K26" s="225" t="str">
        <f>IF(SUM(J26:J28)&lt;&gt;I26,"Revisar","Correcto")</f>
        <v>Correcto</v>
      </c>
      <c r="L26" s="226"/>
      <c r="M26" s="43" t="s">
        <v>28</v>
      </c>
      <c r="N26" s="92"/>
      <c r="O26" s="220"/>
      <c r="P26" s="92"/>
      <c r="Q26" s="44"/>
      <c r="R26" s="44"/>
      <c r="S26" s="45"/>
      <c r="T26" s="11"/>
    </row>
    <row r="27" ht="21" customHeight="1" spans="1:20" x14ac:dyDescent="0.25">
      <c r="A27" s="48"/>
      <c r="B27" s="42">
        <f t="shared" si="2"/>
        <v>8</v>
      </c>
      <c r="C27" s="223"/>
      <c r="D27" s="206"/>
      <c r="E27" s="224"/>
      <c r="F27" s="10"/>
      <c r="G27" s="208" t="s">
        <v>95</v>
      </c>
      <c r="H27" s="10"/>
      <c r="I27" s="221"/>
      <c r="J27" s="209"/>
      <c r="K27" s="221"/>
      <c r="L27" s="226"/>
      <c r="M27" s="43" t="s">
        <v>28</v>
      </c>
      <c r="N27" s="92"/>
      <c r="O27" s="220"/>
      <c r="P27" s="92"/>
      <c r="Q27" s="44"/>
      <c r="R27" s="44"/>
      <c r="S27" s="45"/>
      <c r="T27" s="11"/>
    </row>
    <row r="28" ht="21" customHeight="1" spans="1:20" x14ac:dyDescent="0.25">
      <c r="A28" s="7"/>
      <c r="B28" s="227">
        <f t="shared" si="2"/>
        <v>9</v>
      </c>
      <c r="C28" s="223"/>
      <c r="D28" s="206"/>
      <c r="E28" s="224"/>
      <c r="F28" s="10"/>
      <c r="G28" s="224" t="s">
        <v>95</v>
      </c>
      <c r="H28" s="10"/>
      <c r="I28" s="222"/>
      <c r="J28" s="209"/>
      <c r="K28" s="222"/>
      <c r="L28" s="226"/>
      <c r="M28" s="43" t="s">
        <v>28</v>
      </c>
      <c r="N28" s="92"/>
      <c r="O28" s="220"/>
      <c r="P28" s="92"/>
      <c r="Q28" s="44"/>
      <c r="R28" s="44"/>
      <c r="S28" s="45"/>
      <c r="T28" s="11"/>
    </row>
    <row r="29" ht="21" customHeight="1" spans="1:20" x14ac:dyDescent="0.25">
      <c r="A29" s="7"/>
      <c r="B29" s="227">
        <f t="shared" si="2"/>
        <v>10</v>
      </c>
      <c r="C29" s="217"/>
      <c r="D29" s="210"/>
      <c r="E29" s="202"/>
      <c r="F29" s="10"/>
      <c r="G29" s="202" t="s">
        <v>95</v>
      </c>
      <c r="H29" s="10"/>
      <c r="I29" s="203"/>
      <c r="J29" s="203"/>
      <c r="K29" s="203" t="str">
        <f t="shared" ref="K29:K30" si="3">IF(SUM(J29)&lt;&gt;I29,"Revisar","Correcto")</f>
        <v>Correcto</v>
      </c>
      <c r="L29" s="228"/>
      <c r="M29" s="43" t="s">
        <v>28</v>
      </c>
      <c r="N29" s="92"/>
      <c r="O29" s="220"/>
      <c r="P29" s="92"/>
      <c r="Q29" s="44"/>
      <c r="R29" s="44"/>
      <c r="S29" s="45"/>
      <c r="T29" s="11"/>
    </row>
    <row r="30" ht="21" customHeight="1" spans="1:20" x14ac:dyDescent="0.25">
      <c r="A30" s="7"/>
      <c r="B30" s="227">
        <f t="shared" si="2"/>
        <v>11</v>
      </c>
      <c r="C30" s="223"/>
      <c r="D30" s="206"/>
      <c r="E30" s="224"/>
      <c r="F30" s="10"/>
      <c r="G30" s="224" t="s">
        <v>95</v>
      </c>
      <c r="H30" s="10"/>
      <c r="I30" s="209"/>
      <c r="J30" s="209"/>
      <c r="K30" s="209" t="str">
        <f t="shared" si="3"/>
        <v>Correcto</v>
      </c>
      <c r="L30" s="226"/>
      <c r="M30" s="43" t="s">
        <v>28</v>
      </c>
      <c r="N30" s="92"/>
      <c r="O30" s="220"/>
      <c r="P30" s="92"/>
      <c r="Q30" s="44"/>
      <c r="R30" s="44"/>
      <c r="S30" s="45"/>
      <c r="T30" s="11"/>
    </row>
    <row r="31" ht="21" customHeight="1" spans="1:20" x14ac:dyDescent="0.25">
      <c r="A31" s="7"/>
      <c r="B31" s="227">
        <f t="shared" si="2"/>
        <v>12</v>
      </c>
      <c r="C31" s="217"/>
      <c r="D31" s="210"/>
      <c r="E31" s="202"/>
      <c r="F31" s="10"/>
      <c r="G31" s="202" t="s">
        <v>95</v>
      </c>
      <c r="H31" s="10"/>
      <c r="I31" s="218"/>
      <c r="J31" s="203"/>
      <c r="K31" s="218" t="str">
        <f>IF(SUM(J31:J33)&lt;&gt;I31,"Revisar","Correcto")</f>
        <v>Correcto</v>
      </c>
      <c r="L31" s="228"/>
      <c r="M31" s="43" t="s">
        <v>28</v>
      </c>
      <c r="N31" s="92"/>
      <c r="O31" s="220"/>
      <c r="P31" s="92"/>
      <c r="Q31" s="44"/>
      <c r="R31" s="44"/>
      <c r="S31" s="45"/>
      <c r="T31" s="11"/>
    </row>
    <row r="32" ht="21" customHeight="1" spans="1:20" x14ac:dyDescent="0.25">
      <c r="A32" s="7"/>
      <c r="B32" s="227">
        <f t="shared" si="2"/>
        <v>13</v>
      </c>
      <c r="C32" s="217"/>
      <c r="D32" s="210"/>
      <c r="E32" s="202"/>
      <c r="F32" s="10"/>
      <c r="G32" s="202" t="s">
        <v>95</v>
      </c>
      <c r="H32" s="10"/>
      <c r="I32" s="221"/>
      <c r="J32" s="203"/>
      <c r="K32" s="221"/>
      <c r="L32" s="228"/>
      <c r="M32" s="43" t="s">
        <v>28</v>
      </c>
      <c r="N32" s="92"/>
      <c r="O32" s="220"/>
      <c r="P32" s="92"/>
      <c r="Q32" s="44"/>
      <c r="R32" s="44"/>
      <c r="S32" s="45"/>
      <c r="T32" s="11"/>
    </row>
    <row r="33" ht="21" customHeight="1" spans="1:20" x14ac:dyDescent="0.25">
      <c r="A33" s="7"/>
      <c r="B33" s="227">
        <f t="shared" si="2"/>
        <v>14</v>
      </c>
      <c r="C33" s="217"/>
      <c r="D33" s="210"/>
      <c r="E33" s="202"/>
      <c r="F33" s="10"/>
      <c r="G33" s="202" t="s">
        <v>95</v>
      </c>
      <c r="H33" s="10"/>
      <c r="I33" s="222"/>
      <c r="J33" s="203"/>
      <c r="K33" s="222"/>
      <c r="L33" s="228"/>
      <c r="M33" s="43" t="s">
        <v>28</v>
      </c>
      <c r="N33" s="92"/>
      <c r="O33" s="220"/>
      <c r="P33" s="92"/>
      <c r="Q33" s="44"/>
      <c r="R33" s="44"/>
      <c r="S33" s="45"/>
      <c r="T33" s="11"/>
    </row>
    <row r="34" ht="21" customHeight="1" spans="1:20" x14ac:dyDescent="0.25">
      <c r="A34" s="7"/>
      <c r="B34" s="227">
        <f t="shared" si="2"/>
        <v>15</v>
      </c>
      <c r="C34" s="223"/>
      <c r="D34" s="206"/>
      <c r="E34" s="224"/>
      <c r="F34" s="10"/>
      <c r="G34" s="224" t="s">
        <v>95</v>
      </c>
      <c r="H34" s="10"/>
      <c r="I34" s="209"/>
      <c r="J34" s="209"/>
      <c r="K34" s="209" t="str">
        <f>IF(SUM(J34)&lt;&gt;I34,"Revisar","Correcto")</f>
        <v>Correcto</v>
      </c>
      <c r="L34" s="226"/>
      <c r="M34" s="43" t="s">
        <v>28</v>
      </c>
      <c r="N34" s="92"/>
      <c r="O34" s="220"/>
      <c r="P34" s="92"/>
      <c r="Q34" s="44"/>
      <c r="R34" s="44"/>
      <c r="S34" s="45"/>
      <c r="T34" s="11"/>
    </row>
    <row r="35" ht="21" customHeight="1" spans="1:20" x14ac:dyDescent="0.25">
      <c r="A35" s="7"/>
      <c r="B35" s="227">
        <f t="shared" si="2"/>
        <v>16</v>
      </c>
      <c r="C35" s="217"/>
      <c r="D35" s="210"/>
      <c r="E35" s="202"/>
      <c r="F35" s="10"/>
      <c r="G35" s="202" t="s">
        <v>95</v>
      </c>
      <c r="H35" s="10"/>
      <c r="I35" s="218"/>
      <c r="J35" s="203"/>
      <c r="K35" s="219" t="str">
        <f>IF(SUM(J35:J37)&lt;&gt;I35,"Revisar","Correcto")</f>
        <v>Correcto</v>
      </c>
      <c r="L35" s="41"/>
      <c r="M35" s="43" t="s">
        <v>28</v>
      </c>
      <c r="N35" s="92"/>
      <c r="O35" s="220"/>
      <c r="P35" s="92"/>
      <c r="Q35" s="44"/>
      <c r="R35" s="44"/>
      <c r="S35" s="45"/>
      <c r="T35" s="11"/>
    </row>
    <row r="36" ht="21" customHeight="1" spans="1:20" x14ac:dyDescent="0.25">
      <c r="A36" s="7"/>
      <c r="B36" s="227">
        <f t="shared" si="2"/>
        <v>17</v>
      </c>
      <c r="C36" s="217"/>
      <c r="D36" s="210"/>
      <c r="E36" s="202"/>
      <c r="F36" s="10"/>
      <c r="G36" s="202" t="s">
        <v>95</v>
      </c>
      <c r="H36" s="10"/>
      <c r="I36" s="221"/>
      <c r="J36" s="203"/>
      <c r="K36" s="221"/>
      <c r="L36" s="41"/>
      <c r="M36" s="43" t="s">
        <v>28</v>
      </c>
      <c r="N36" s="92"/>
      <c r="O36" s="220"/>
      <c r="P36" s="92"/>
      <c r="Q36" s="44"/>
      <c r="R36" s="44"/>
      <c r="S36" s="45"/>
      <c r="T36" s="11"/>
    </row>
    <row r="37" ht="21" customHeight="1" spans="1:20" x14ac:dyDescent="0.25">
      <c r="A37" s="7"/>
      <c r="B37" s="227">
        <f t="shared" si="2"/>
        <v>18</v>
      </c>
      <c r="C37" s="217"/>
      <c r="D37" s="210"/>
      <c r="E37" s="202"/>
      <c r="F37" s="10"/>
      <c r="G37" s="202" t="s">
        <v>95</v>
      </c>
      <c r="H37" s="10"/>
      <c r="I37" s="222"/>
      <c r="J37" s="203"/>
      <c r="K37" s="222"/>
      <c r="L37" s="41"/>
      <c r="M37" s="43" t="s">
        <v>28</v>
      </c>
      <c r="N37" s="92"/>
      <c r="O37" s="220"/>
      <c r="P37" s="92"/>
      <c r="Q37" s="44"/>
      <c r="R37" s="44"/>
      <c r="S37" s="45"/>
      <c r="T37" s="11"/>
    </row>
    <row r="38" ht="21" customHeight="1" spans="1:20" x14ac:dyDescent="0.25">
      <c r="A38" s="7"/>
      <c r="B38" s="42">
        <f t="shared" si="2"/>
        <v>19</v>
      </c>
      <c r="C38" s="223"/>
      <c r="D38" s="206"/>
      <c r="E38" s="224"/>
      <c r="F38" s="10"/>
      <c r="G38" s="224" t="s">
        <v>95</v>
      </c>
      <c r="H38" s="10"/>
      <c r="I38" s="225"/>
      <c r="J38" s="209"/>
      <c r="K38" s="225" t="str">
        <f>IF(SUM(J38:J41)&lt;&gt;I38,"Revisar","Correcto")</f>
        <v>Correcto</v>
      </c>
      <c r="L38" s="226"/>
      <c r="M38" s="43" t="s">
        <v>28</v>
      </c>
      <c r="N38" s="92"/>
      <c r="O38" s="220"/>
      <c r="P38" s="92"/>
      <c r="Q38" s="44"/>
      <c r="R38" s="44"/>
      <c r="S38" s="45"/>
      <c r="T38" s="11"/>
    </row>
    <row r="39" ht="21" customHeight="1" spans="1:20" x14ac:dyDescent="0.25">
      <c r="A39" s="7"/>
      <c r="B39" s="42">
        <f t="shared" si="2"/>
        <v>20</v>
      </c>
      <c r="C39" s="223"/>
      <c r="D39" s="206"/>
      <c r="E39" s="224"/>
      <c r="F39" s="10"/>
      <c r="G39" s="208" t="s">
        <v>95</v>
      </c>
      <c r="H39" s="10"/>
      <c r="I39" s="221"/>
      <c r="J39" s="209"/>
      <c r="K39" s="221"/>
      <c r="L39" s="226"/>
      <c r="M39" s="43" t="s">
        <v>28</v>
      </c>
      <c r="N39" s="92"/>
      <c r="O39" s="220"/>
      <c r="P39" s="92"/>
      <c r="Q39" s="44"/>
      <c r="R39" s="44"/>
      <c r="S39" s="45"/>
      <c r="T39" s="11"/>
    </row>
    <row r="40" ht="21" customHeight="1" spans="1:20" x14ac:dyDescent="0.25">
      <c r="A40" s="7"/>
      <c r="B40" s="42">
        <f t="shared" si="2"/>
        <v>21</v>
      </c>
      <c r="C40" s="223"/>
      <c r="D40" s="206"/>
      <c r="E40" s="224"/>
      <c r="F40" s="10"/>
      <c r="G40" s="208" t="s">
        <v>95</v>
      </c>
      <c r="H40" s="10"/>
      <c r="I40" s="221"/>
      <c r="J40" s="209"/>
      <c r="K40" s="221"/>
      <c r="L40" s="226"/>
      <c r="M40" s="43" t="s">
        <v>28</v>
      </c>
      <c r="N40" s="92"/>
      <c r="O40" s="220"/>
      <c r="P40" s="92"/>
      <c r="Q40" s="44"/>
      <c r="R40" s="44"/>
      <c r="S40" s="45"/>
      <c r="T40" s="11"/>
    </row>
    <row r="41" ht="21" customHeight="1" spans="1:20" x14ac:dyDescent="0.25">
      <c r="A41" s="7"/>
      <c r="B41" s="42">
        <f t="shared" si="2"/>
        <v>22</v>
      </c>
      <c r="C41" s="223"/>
      <c r="D41" s="206"/>
      <c r="E41" s="224"/>
      <c r="F41" s="10"/>
      <c r="G41" s="208" t="s">
        <v>95</v>
      </c>
      <c r="H41" s="10"/>
      <c r="I41" s="222"/>
      <c r="J41" s="209"/>
      <c r="K41" s="222"/>
      <c r="L41" s="226"/>
      <c r="M41" s="43" t="s">
        <v>28</v>
      </c>
      <c r="N41" s="92"/>
      <c r="O41" s="220"/>
      <c r="P41" s="92"/>
      <c r="Q41" s="44"/>
      <c r="R41" s="44"/>
      <c r="S41" s="45"/>
      <c r="T41" s="11"/>
    </row>
    <row r="42" ht="29.25" customHeight="1" spans="1:20" x14ac:dyDescent="0.25">
      <c r="A42" s="1"/>
      <c r="B42" s="2"/>
      <c r="C42" s="3"/>
      <c r="D42" s="2"/>
      <c r="E42" s="160"/>
      <c r="F42" s="211"/>
      <c r="G42" s="12"/>
      <c r="H42" s="211"/>
      <c r="I42" s="229"/>
      <c r="J42" s="2"/>
      <c r="K42" s="2"/>
      <c r="L42" s="3"/>
      <c r="M42" s="2"/>
      <c r="N42" s="2"/>
      <c r="O42" s="3"/>
      <c r="P42" s="2"/>
      <c r="Q42" s="2"/>
      <c r="R42" s="2"/>
      <c r="S42" s="2"/>
      <c r="T42" s="1"/>
    </row>
    <row r="43" ht="14.25" customHeight="1" spans="1:20" x14ac:dyDescent="0.25">
      <c r="A43" s="7"/>
      <c r="B43" s="230" t="s">
        <v>96</v>
      </c>
      <c r="C43" s="9"/>
      <c r="D43" s="9"/>
      <c r="E43" s="9"/>
      <c r="F43" s="9"/>
      <c r="G43" s="9"/>
      <c r="H43" s="9"/>
      <c r="I43" s="9"/>
      <c r="J43" s="9"/>
      <c r="K43" s="9"/>
      <c r="L43" s="9"/>
      <c r="M43" s="9"/>
      <c r="N43" s="9"/>
      <c r="O43" s="9"/>
      <c r="P43" s="9"/>
      <c r="Q43" s="9"/>
      <c r="R43" s="9"/>
      <c r="S43" s="10"/>
      <c r="T43" s="1"/>
    </row>
    <row r="44" ht="9.75" customHeight="1" spans="1:20" x14ac:dyDescent="0.25">
      <c r="A44" s="1"/>
      <c r="B44" s="2"/>
      <c r="C44" s="3"/>
      <c r="D44" s="12"/>
      <c r="E44" s="3"/>
      <c r="F44" s="2"/>
      <c r="G44" s="2"/>
      <c r="H44" s="2"/>
      <c r="I44" s="2"/>
      <c r="J44" s="2"/>
      <c r="K44" s="2"/>
      <c r="L44" s="58"/>
      <c r="M44" s="57"/>
      <c r="N44" s="2"/>
      <c r="O44" s="3"/>
      <c r="P44" s="2"/>
      <c r="Q44" s="2"/>
      <c r="R44" s="57"/>
      <c r="S44" s="57"/>
      <c r="T44" s="1"/>
    </row>
    <row r="45" ht="15.75" customHeight="1" spans="1:20" x14ac:dyDescent="0.25">
      <c r="A45" s="7"/>
      <c r="B45" s="231" t="s">
        <v>97</v>
      </c>
      <c r="C45" s="9"/>
      <c r="D45" s="10"/>
      <c r="E45" s="18" t="s">
        <v>84</v>
      </c>
      <c r="F45" s="19">
        <f>SUM(I49:I66)</f>
        <v>0</v>
      </c>
      <c r="G45" s="18" t="s">
        <v>4</v>
      </c>
      <c r="H45" s="193">
        <f>SUM(J49:J66)</f>
        <v>0</v>
      </c>
      <c r="I45" s="20"/>
      <c r="J45" s="21" t="s">
        <v>5</v>
      </c>
      <c r="K45" s="10"/>
      <c r="L45" s="194" t="str">
        <f>IF(F45&lt;&gt;H45,"Revisar","Correcto")</f>
        <v>Correcto</v>
      </c>
      <c r="M45" s="23"/>
      <c r="N45" s="21" t="s">
        <v>98</v>
      </c>
      <c r="O45" s="9"/>
      <c r="P45" s="9"/>
      <c r="Q45" s="10"/>
      <c r="R45" s="195">
        <f>SUM(N49:N66)</f>
        <v>0</v>
      </c>
      <c r="S45" s="232"/>
      <c r="T45" s="1"/>
    </row>
    <row r="46" ht="6.75" customHeight="1" spans="1:20" x14ac:dyDescent="0.25">
      <c r="A46" s="1"/>
      <c r="B46" s="2"/>
      <c r="C46" s="3"/>
      <c r="D46" s="2"/>
      <c r="E46" s="3"/>
      <c r="F46" s="2"/>
      <c r="G46" s="2"/>
      <c r="H46" s="2"/>
      <c r="I46" s="2"/>
      <c r="J46" s="2"/>
      <c r="K46" s="2"/>
      <c r="L46" s="54"/>
      <c r="M46" s="53"/>
      <c r="N46" s="2"/>
      <c r="O46" s="3"/>
      <c r="P46" s="2"/>
      <c r="Q46" s="2"/>
      <c r="R46" s="53"/>
      <c r="S46" s="53"/>
      <c r="T46" s="1"/>
    </row>
    <row r="47" ht="13.5" customHeight="1" spans="1:20" x14ac:dyDescent="0.25">
      <c r="A47" s="7"/>
      <c r="B47" s="233" t="s">
        <v>8</v>
      </c>
      <c r="C47" s="9"/>
      <c r="D47" s="9"/>
      <c r="E47" s="9"/>
      <c r="F47" s="9"/>
      <c r="G47" s="9"/>
      <c r="H47" s="9"/>
      <c r="I47" s="9"/>
      <c r="J47" s="9"/>
      <c r="K47" s="9"/>
      <c r="L47" s="10"/>
      <c r="M47" s="134" t="s">
        <v>9</v>
      </c>
      <c r="N47" s="9"/>
      <c r="O47" s="9"/>
      <c r="P47" s="9"/>
      <c r="Q47" s="9"/>
      <c r="R47" s="9"/>
      <c r="S47" s="10"/>
      <c r="T47" s="1"/>
    </row>
    <row r="48" ht="20.25" customHeight="1" spans="1:20" x14ac:dyDescent="0.25">
      <c r="A48" s="7"/>
      <c r="B48" s="167" t="s">
        <v>10</v>
      </c>
      <c r="C48" s="31" t="s">
        <v>11</v>
      </c>
      <c r="D48" s="31" t="s">
        <v>12</v>
      </c>
      <c r="E48" s="199" t="s">
        <v>86</v>
      </c>
      <c r="F48" s="200"/>
      <c r="G48" s="199" t="s">
        <v>87</v>
      </c>
      <c r="H48" s="200"/>
      <c r="I48" s="167" t="s">
        <v>88</v>
      </c>
      <c r="J48" s="167" t="s">
        <v>78</v>
      </c>
      <c r="K48" s="167" t="s">
        <v>89</v>
      </c>
      <c r="L48" s="167" t="s">
        <v>79</v>
      </c>
      <c r="M48" s="33" t="s">
        <v>20</v>
      </c>
      <c r="N48" s="34" t="s">
        <v>21</v>
      </c>
      <c r="O48" s="34" t="s">
        <v>22</v>
      </c>
      <c r="P48" s="35" t="s">
        <v>23</v>
      </c>
      <c r="Q48" s="33" t="s">
        <v>24</v>
      </c>
      <c r="R48" s="33" t="s">
        <v>25</v>
      </c>
      <c r="S48" s="33" t="s">
        <v>26</v>
      </c>
      <c r="T48" s="1"/>
    </row>
    <row r="49" ht="21" customHeight="1" spans="1:20" x14ac:dyDescent="0.25">
      <c r="A49" s="7"/>
      <c r="B49" s="42">
        <v>1</v>
      </c>
      <c r="C49" s="217"/>
      <c r="D49" s="210"/>
      <c r="E49" s="202"/>
      <c r="F49" s="10"/>
      <c r="G49" s="202" t="s">
        <v>99</v>
      </c>
      <c r="H49" s="10"/>
      <c r="I49" s="218"/>
      <c r="J49" s="203"/>
      <c r="K49" s="219" t="str">
        <f>IF(SUM(J49:J52)&lt;&gt;I49,"Revisar","Correcto")</f>
        <v>Correcto</v>
      </c>
      <c r="L49" s="41"/>
      <c r="M49" s="43" t="s">
        <v>28</v>
      </c>
      <c r="N49" s="178"/>
      <c r="O49" s="220"/>
      <c r="P49" s="92"/>
      <c r="Q49" s="44"/>
      <c r="R49" s="44"/>
      <c r="S49" s="45"/>
      <c r="T49" s="11"/>
    </row>
    <row r="50" ht="21" customHeight="1" spans="1:20" x14ac:dyDescent="0.25">
      <c r="A50" s="7"/>
      <c r="B50" s="42">
        <f t="shared" ref="B50:B66" si="4">B49+1</f>
        <v>2</v>
      </c>
      <c r="C50" s="217"/>
      <c r="D50" s="210"/>
      <c r="E50" s="202"/>
      <c r="F50" s="10"/>
      <c r="G50" s="202" t="s">
        <v>99</v>
      </c>
      <c r="H50" s="10"/>
      <c r="I50" s="221"/>
      <c r="J50" s="203"/>
      <c r="K50" s="221"/>
      <c r="L50" s="41"/>
      <c r="M50" s="43" t="s">
        <v>28</v>
      </c>
      <c r="N50" s="178"/>
      <c r="O50" s="220"/>
      <c r="P50" s="92"/>
      <c r="Q50" s="44"/>
      <c r="R50" s="44"/>
      <c r="S50" s="45"/>
      <c r="T50" s="11"/>
    </row>
    <row r="51" ht="21" customHeight="1" spans="1:20" x14ac:dyDescent="0.25">
      <c r="A51" s="7"/>
      <c r="B51" s="42">
        <f t="shared" si="4"/>
        <v>3</v>
      </c>
      <c r="C51" s="217"/>
      <c r="D51" s="210"/>
      <c r="E51" s="202"/>
      <c r="F51" s="10"/>
      <c r="G51" s="202" t="s">
        <v>99</v>
      </c>
      <c r="H51" s="10"/>
      <c r="I51" s="221"/>
      <c r="J51" s="203"/>
      <c r="K51" s="221"/>
      <c r="L51" s="41"/>
      <c r="M51" s="43" t="s">
        <v>28</v>
      </c>
      <c r="N51" s="178"/>
      <c r="O51" s="220"/>
      <c r="P51" s="92"/>
      <c r="Q51" s="44"/>
      <c r="R51" s="44"/>
      <c r="S51" s="45"/>
      <c r="T51" s="11"/>
    </row>
    <row r="52" ht="21" customHeight="1" spans="1:20" x14ac:dyDescent="0.25">
      <c r="A52" s="7"/>
      <c r="B52" s="42">
        <f t="shared" si="4"/>
        <v>4</v>
      </c>
      <c r="C52" s="217"/>
      <c r="D52" s="210"/>
      <c r="E52" s="202"/>
      <c r="F52" s="10"/>
      <c r="G52" s="202" t="s">
        <v>99</v>
      </c>
      <c r="H52" s="10"/>
      <c r="I52" s="222"/>
      <c r="J52" s="203"/>
      <c r="K52" s="222"/>
      <c r="L52" s="41"/>
      <c r="M52" s="43" t="s">
        <v>28</v>
      </c>
      <c r="N52" s="178"/>
      <c r="O52" s="220"/>
      <c r="P52" s="92"/>
      <c r="Q52" s="44"/>
      <c r="R52" s="44"/>
      <c r="S52" s="45"/>
      <c r="T52" s="11"/>
    </row>
    <row r="53" ht="21" customHeight="1" spans="1:20" x14ac:dyDescent="0.25">
      <c r="A53" s="7"/>
      <c r="B53" s="42">
        <f t="shared" si="4"/>
        <v>5</v>
      </c>
      <c r="C53" s="223"/>
      <c r="D53" s="206"/>
      <c r="E53" s="224"/>
      <c r="F53" s="10"/>
      <c r="G53" s="208" t="s">
        <v>99</v>
      </c>
      <c r="H53" s="10"/>
      <c r="I53" s="209"/>
      <c r="J53" s="209"/>
      <c r="K53" s="209" t="str">
        <f t="shared" ref="K53:K54" si="5">IF(SUM(J53)&lt;&gt;I53,"Revisar","Correcto")</f>
        <v>Correcto</v>
      </c>
      <c r="L53" s="226"/>
      <c r="M53" s="43" t="s">
        <v>28</v>
      </c>
      <c r="N53" s="178"/>
      <c r="O53" s="220"/>
      <c r="P53" s="92"/>
      <c r="Q53" s="44"/>
      <c r="R53" s="44"/>
      <c r="S53" s="45"/>
      <c r="T53" s="11"/>
    </row>
    <row r="54" ht="21" customHeight="1" spans="1:20" x14ac:dyDescent="0.25">
      <c r="A54" s="48"/>
      <c r="B54" s="42">
        <f t="shared" si="4"/>
        <v>6</v>
      </c>
      <c r="C54" s="217"/>
      <c r="D54" s="210"/>
      <c r="E54" s="202"/>
      <c r="F54" s="10"/>
      <c r="G54" s="202" t="s">
        <v>99</v>
      </c>
      <c r="H54" s="10"/>
      <c r="I54" s="203"/>
      <c r="J54" s="203"/>
      <c r="K54" s="234" t="str">
        <f t="shared" si="5"/>
        <v>Correcto</v>
      </c>
      <c r="L54" s="41"/>
      <c r="M54" s="43" t="s">
        <v>28</v>
      </c>
      <c r="N54" s="92"/>
      <c r="O54" s="220"/>
      <c r="P54" s="92"/>
      <c r="Q54" s="44"/>
      <c r="R54" s="44"/>
      <c r="S54" s="45"/>
      <c r="T54" s="11"/>
    </row>
    <row r="55" ht="21" customHeight="1" spans="1:20" x14ac:dyDescent="0.25">
      <c r="A55" s="7"/>
      <c r="B55" s="42">
        <f t="shared" si="4"/>
        <v>7</v>
      </c>
      <c r="C55" s="223"/>
      <c r="D55" s="206"/>
      <c r="E55" s="224"/>
      <c r="F55" s="10"/>
      <c r="G55" s="208" t="s">
        <v>99</v>
      </c>
      <c r="H55" s="10"/>
      <c r="I55" s="225"/>
      <c r="J55" s="209"/>
      <c r="K55" s="225" t="str">
        <f>IF(SUM(J55:J56)&lt;&gt;I55,"Revisar","Correcto")</f>
        <v>Correcto</v>
      </c>
      <c r="L55" s="226"/>
      <c r="M55" s="43" t="s">
        <v>28</v>
      </c>
      <c r="N55" s="178"/>
      <c r="O55" s="220"/>
      <c r="P55" s="92"/>
      <c r="Q55" s="44"/>
      <c r="R55" s="44"/>
      <c r="S55" s="45"/>
      <c r="T55" s="11"/>
    </row>
    <row r="56" ht="21" customHeight="1" spans="1:20" x14ac:dyDescent="0.25">
      <c r="A56" s="7"/>
      <c r="B56" s="42">
        <f t="shared" si="4"/>
        <v>8</v>
      </c>
      <c r="C56" s="223"/>
      <c r="D56" s="206"/>
      <c r="E56" s="224"/>
      <c r="F56" s="10"/>
      <c r="G56" s="208" t="s">
        <v>99</v>
      </c>
      <c r="H56" s="10"/>
      <c r="I56" s="222"/>
      <c r="J56" s="209"/>
      <c r="K56" s="222"/>
      <c r="L56" s="226"/>
      <c r="M56" s="43" t="s">
        <v>28</v>
      </c>
      <c r="N56" s="92"/>
      <c r="O56" s="220"/>
      <c r="P56" s="92"/>
      <c r="Q56" s="44"/>
      <c r="R56" s="44"/>
      <c r="S56" s="45"/>
      <c r="T56" s="11"/>
    </row>
    <row r="57" ht="21" customHeight="1" spans="1:20" x14ac:dyDescent="0.25">
      <c r="A57" s="7"/>
      <c r="B57" s="42">
        <f t="shared" si="4"/>
        <v>9</v>
      </c>
      <c r="C57" s="217"/>
      <c r="D57" s="210"/>
      <c r="E57" s="202"/>
      <c r="F57" s="10"/>
      <c r="G57" s="202" t="s">
        <v>99</v>
      </c>
      <c r="H57" s="10"/>
      <c r="I57" s="203"/>
      <c r="J57" s="203"/>
      <c r="K57" s="234" t="str">
        <f>IF(SUM(J57)&lt;&gt;I57,"Revisar","Correcto")</f>
        <v>Correcto</v>
      </c>
      <c r="L57" s="41"/>
      <c r="M57" s="43" t="s">
        <v>28</v>
      </c>
      <c r="N57" s="92"/>
      <c r="O57" s="220"/>
      <c r="P57" s="92"/>
      <c r="Q57" s="44"/>
      <c r="R57" s="44"/>
      <c r="S57" s="45"/>
      <c r="T57" s="11"/>
    </row>
    <row r="58" ht="21" customHeight="1" spans="1:20" x14ac:dyDescent="0.25">
      <c r="A58" s="7"/>
      <c r="B58" s="42">
        <f t="shared" si="4"/>
        <v>10</v>
      </c>
      <c r="C58" s="223"/>
      <c r="D58" s="206"/>
      <c r="E58" s="224"/>
      <c r="F58" s="10"/>
      <c r="G58" s="208" t="s">
        <v>99</v>
      </c>
      <c r="H58" s="10"/>
      <c r="I58" s="225"/>
      <c r="J58" s="209"/>
      <c r="K58" s="225" t="str">
        <f>IF(SUM(J58:J59)&lt;&gt;I58,"Revisar","Correcto")</f>
        <v>Correcto</v>
      </c>
      <c r="L58" s="226"/>
      <c r="M58" s="43" t="s">
        <v>28</v>
      </c>
      <c r="N58" s="92"/>
      <c r="O58" s="220"/>
      <c r="P58" s="92"/>
      <c r="Q58" s="44"/>
      <c r="R58" s="44"/>
      <c r="S58" s="45"/>
      <c r="T58" s="11"/>
    </row>
    <row r="59" ht="21" customHeight="1" spans="1:20" x14ac:dyDescent="0.25">
      <c r="A59" s="7"/>
      <c r="B59" s="42">
        <f t="shared" si="4"/>
        <v>11</v>
      </c>
      <c r="C59" s="223"/>
      <c r="D59" s="206"/>
      <c r="E59" s="224"/>
      <c r="F59" s="10"/>
      <c r="G59" s="208" t="s">
        <v>99</v>
      </c>
      <c r="H59" s="10"/>
      <c r="I59" s="222"/>
      <c r="J59" s="209"/>
      <c r="K59" s="222"/>
      <c r="L59" s="226"/>
      <c r="M59" s="43" t="s">
        <v>28</v>
      </c>
      <c r="N59" s="92"/>
      <c r="O59" s="220"/>
      <c r="P59" s="92"/>
      <c r="Q59" s="44"/>
      <c r="R59" s="44"/>
      <c r="S59" s="45"/>
      <c r="T59" s="11"/>
    </row>
    <row r="60" ht="21" customHeight="1" spans="1:20" x14ac:dyDescent="0.25">
      <c r="A60" s="7"/>
      <c r="B60" s="42">
        <f t="shared" si="4"/>
        <v>12</v>
      </c>
      <c r="C60" s="217"/>
      <c r="D60" s="210"/>
      <c r="E60" s="202"/>
      <c r="F60" s="10"/>
      <c r="G60" s="202" t="s">
        <v>99</v>
      </c>
      <c r="H60" s="10"/>
      <c r="I60" s="218"/>
      <c r="J60" s="203"/>
      <c r="K60" s="218" t="str">
        <f>IF(SUM(J60:J61)&lt;&gt;I60,"Revisar","Correcto")</f>
        <v>Correcto</v>
      </c>
      <c r="L60" s="41"/>
      <c r="M60" s="43" t="s">
        <v>28</v>
      </c>
      <c r="N60" s="92"/>
      <c r="O60" s="220"/>
      <c r="P60" s="92"/>
      <c r="Q60" s="44"/>
      <c r="R60" s="44"/>
      <c r="S60" s="45"/>
      <c r="T60" s="11"/>
    </row>
    <row r="61" ht="21" customHeight="1" spans="1:20" x14ac:dyDescent="0.25">
      <c r="A61" s="48"/>
      <c r="B61" s="42">
        <f t="shared" si="4"/>
        <v>13</v>
      </c>
      <c r="C61" s="217"/>
      <c r="D61" s="210"/>
      <c r="E61" s="202"/>
      <c r="F61" s="10"/>
      <c r="G61" s="202" t="s">
        <v>99</v>
      </c>
      <c r="H61" s="10"/>
      <c r="I61" s="222"/>
      <c r="J61" s="203"/>
      <c r="K61" s="222"/>
      <c r="L61" s="41"/>
      <c r="M61" s="43" t="s">
        <v>28</v>
      </c>
      <c r="N61" s="92"/>
      <c r="O61" s="220"/>
      <c r="P61" s="92"/>
      <c r="Q61" s="44"/>
      <c r="R61" s="44"/>
      <c r="S61" s="45"/>
      <c r="T61" s="11"/>
    </row>
    <row r="62" ht="21" customHeight="1" spans="1:20" x14ac:dyDescent="0.25">
      <c r="A62" s="7"/>
      <c r="B62" s="42">
        <f t="shared" si="4"/>
        <v>14</v>
      </c>
      <c r="C62" s="223"/>
      <c r="D62" s="173"/>
      <c r="E62" s="224"/>
      <c r="F62" s="10"/>
      <c r="G62" s="208" t="s">
        <v>99</v>
      </c>
      <c r="H62" s="10"/>
      <c r="I62" s="209"/>
      <c r="J62" s="209"/>
      <c r="K62" s="209" t="str">
        <f t="shared" ref="K62:K66" si="6">IF(SUM(J62)&lt;&gt;I62,"Revisar","Correcto")</f>
        <v>Correcto</v>
      </c>
      <c r="L62" s="226"/>
      <c r="M62" s="43" t="s">
        <v>28</v>
      </c>
      <c r="N62" s="92"/>
      <c r="O62" s="220"/>
      <c r="P62" s="92"/>
      <c r="Q62" s="44"/>
      <c r="R62" s="44"/>
      <c r="S62" s="45"/>
      <c r="T62" s="11"/>
    </row>
    <row r="63" ht="21" customHeight="1" spans="1:20" x14ac:dyDescent="0.25">
      <c r="A63" s="7"/>
      <c r="B63" s="42">
        <f t="shared" si="4"/>
        <v>15</v>
      </c>
      <c r="C63" s="217"/>
      <c r="D63" s="210"/>
      <c r="E63" s="202"/>
      <c r="F63" s="10"/>
      <c r="G63" s="202" t="s">
        <v>99</v>
      </c>
      <c r="H63" s="10"/>
      <c r="I63" s="203"/>
      <c r="J63" s="203"/>
      <c r="K63" s="209" t="str">
        <f t="shared" si="6"/>
        <v>Correcto</v>
      </c>
      <c r="L63" s="41"/>
      <c r="M63" s="43" t="s">
        <v>28</v>
      </c>
      <c r="N63" s="92"/>
      <c r="O63" s="220"/>
      <c r="P63" s="92"/>
      <c r="Q63" s="44"/>
      <c r="R63" s="44"/>
      <c r="S63" s="45"/>
      <c r="T63" s="11"/>
    </row>
    <row r="64" ht="21" customHeight="1" spans="1:20" x14ac:dyDescent="0.25">
      <c r="A64" s="7"/>
      <c r="B64" s="42">
        <f t="shared" si="4"/>
        <v>16</v>
      </c>
      <c r="C64" s="223"/>
      <c r="D64" s="206"/>
      <c r="E64" s="224"/>
      <c r="F64" s="10"/>
      <c r="G64" s="208" t="s">
        <v>99</v>
      </c>
      <c r="H64" s="10"/>
      <c r="I64" s="209"/>
      <c r="J64" s="209"/>
      <c r="K64" s="209" t="str">
        <f t="shared" si="6"/>
        <v>Correcto</v>
      </c>
      <c r="L64" s="41"/>
      <c r="M64" s="43" t="s">
        <v>28</v>
      </c>
      <c r="N64" s="92"/>
      <c r="O64" s="220"/>
      <c r="P64" s="92"/>
      <c r="Q64" s="44"/>
      <c r="R64" s="44"/>
      <c r="S64" s="45"/>
      <c r="T64" s="11"/>
    </row>
    <row r="65" ht="21" customHeight="1" spans="1:20" x14ac:dyDescent="0.25">
      <c r="A65" s="7"/>
      <c r="B65" s="42">
        <f t="shared" si="4"/>
        <v>17</v>
      </c>
      <c r="C65" s="217"/>
      <c r="D65" s="210"/>
      <c r="E65" s="202"/>
      <c r="F65" s="10"/>
      <c r="G65" s="202" t="s">
        <v>99</v>
      </c>
      <c r="H65" s="10"/>
      <c r="I65" s="203"/>
      <c r="J65" s="203"/>
      <c r="K65" s="209" t="str">
        <f t="shared" si="6"/>
        <v>Correcto</v>
      </c>
      <c r="L65" s="43"/>
      <c r="M65" s="43" t="s">
        <v>28</v>
      </c>
      <c r="N65" s="92"/>
      <c r="O65" s="220"/>
      <c r="P65" s="92"/>
      <c r="Q65" s="44"/>
      <c r="R65" s="44"/>
      <c r="S65" s="45"/>
      <c r="T65" s="11"/>
    </row>
    <row r="66" ht="21" customHeight="1" spans="1:20" x14ac:dyDescent="0.25">
      <c r="A66" s="7"/>
      <c r="B66" s="42">
        <f t="shared" si="4"/>
        <v>18</v>
      </c>
      <c r="C66" s="223"/>
      <c r="D66" s="206"/>
      <c r="E66" s="224"/>
      <c r="F66" s="10"/>
      <c r="G66" s="208" t="s">
        <v>99</v>
      </c>
      <c r="H66" s="10"/>
      <c r="I66" s="209"/>
      <c r="J66" s="209"/>
      <c r="K66" s="209" t="str">
        <f t="shared" si="6"/>
        <v>Correcto</v>
      </c>
      <c r="L66" s="43"/>
      <c r="M66" s="43" t="s">
        <v>28</v>
      </c>
      <c r="N66" s="92"/>
      <c r="O66" s="220"/>
      <c r="P66" s="92"/>
      <c r="Q66" s="44"/>
      <c r="R66" s="44"/>
      <c r="S66" s="45"/>
      <c r="T66" s="11"/>
    </row>
    <row r="67" ht="29.25" customHeight="1" spans="1:20" x14ac:dyDescent="0.25">
      <c r="A67" s="1"/>
      <c r="B67" s="2"/>
      <c r="C67" s="3"/>
      <c r="D67" s="2"/>
      <c r="E67" s="3"/>
      <c r="F67" s="2"/>
      <c r="G67" s="2"/>
      <c r="H67" s="2"/>
      <c r="I67" s="229"/>
      <c r="J67" s="229"/>
      <c r="K67" s="229"/>
      <c r="L67" s="3"/>
      <c r="M67" s="2"/>
      <c r="N67" s="2"/>
      <c r="O67" s="3"/>
      <c r="P67" s="2"/>
      <c r="Q67" s="2"/>
      <c r="R67" s="2"/>
      <c r="S67" s="2"/>
      <c r="T67" s="1"/>
    </row>
    <row r="68" ht="14.25" customHeight="1" spans="1:20" x14ac:dyDescent="0.25">
      <c r="A68" s="70"/>
      <c r="B68" s="235" t="s">
        <v>100</v>
      </c>
      <c r="C68" s="9"/>
      <c r="D68" s="9"/>
      <c r="E68" s="9"/>
      <c r="F68" s="9"/>
      <c r="G68" s="9"/>
      <c r="H68" s="9"/>
      <c r="I68" s="9"/>
      <c r="J68" s="9"/>
      <c r="K68" s="9"/>
      <c r="L68" s="9"/>
      <c r="M68" s="9"/>
      <c r="N68" s="9"/>
      <c r="O68" s="9"/>
      <c r="P68" s="9"/>
      <c r="Q68" s="9"/>
      <c r="R68" s="9"/>
      <c r="S68" s="10"/>
      <c r="T68" s="70"/>
    </row>
    <row r="69" ht="9.75" customHeight="1" spans="1:20" x14ac:dyDescent="0.25">
      <c r="A69" s="70"/>
      <c r="B69" s="236"/>
      <c r="C69" s="237"/>
      <c r="D69" s="238"/>
      <c r="E69" s="237"/>
      <c r="F69" s="236"/>
      <c r="G69" s="236"/>
      <c r="H69" s="236"/>
      <c r="I69" s="239"/>
      <c r="J69" s="239"/>
      <c r="K69" s="239"/>
      <c r="L69" s="240"/>
      <c r="M69" s="241"/>
      <c r="N69" s="236"/>
      <c r="O69" s="237"/>
      <c r="P69" s="236"/>
      <c r="Q69" s="236"/>
      <c r="R69" s="241"/>
      <c r="S69" s="241"/>
      <c r="T69" s="70"/>
    </row>
    <row r="70" ht="27.75" customHeight="1" spans="1:20" x14ac:dyDescent="0.25">
      <c r="A70" s="70"/>
      <c r="B70" s="242" t="s">
        <v>101</v>
      </c>
      <c r="C70" s="9"/>
      <c r="D70" s="10"/>
      <c r="E70" s="18" t="s">
        <v>84</v>
      </c>
      <c r="F70" s="19">
        <f>SUM(I74:I82)</f>
        <v>0</v>
      </c>
      <c r="G70" s="18" t="s">
        <v>4</v>
      </c>
      <c r="H70" s="193">
        <f>SUM(J74:J82)</f>
        <v>0</v>
      </c>
      <c r="I70" s="243"/>
      <c r="J70" s="244" t="s">
        <v>5</v>
      </c>
      <c r="K70" s="10"/>
      <c r="L70" s="245" t="str">
        <f>IF(F70&lt;&gt;H70,"Revisar","Correcto")</f>
        <v>Correcto</v>
      </c>
      <c r="M70" s="246"/>
      <c r="N70" s="21" t="s">
        <v>102</v>
      </c>
      <c r="O70" s="9"/>
      <c r="P70" s="9"/>
      <c r="Q70" s="10"/>
      <c r="R70" s="195">
        <f>SUM(N74:N82)</f>
        <v>0</v>
      </c>
      <c r="S70" s="247"/>
      <c r="T70" s="70"/>
    </row>
    <row r="71" ht="9.75" customHeight="1" spans="1:20" x14ac:dyDescent="0.25">
      <c r="A71" s="70"/>
      <c r="B71" s="236"/>
      <c r="C71" s="237"/>
      <c r="D71" s="236"/>
      <c r="E71" s="237"/>
      <c r="F71" s="236"/>
      <c r="G71" s="236"/>
      <c r="H71" s="236"/>
      <c r="I71" s="239"/>
      <c r="J71" s="239"/>
      <c r="K71" s="239"/>
      <c r="L71" s="248"/>
      <c r="M71" s="249"/>
      <c r="N71" s="236"/>
      <c r="O71" s="237"/>
      <c r="P71" s="236"/>
      <c r="Q71" s="236"/>
      <c r="R71" s="249"/>
      <c r="S71" s="249"/>
      <c r="T71" s="70"/>
    </row>
    <row r="72" ht="13.5" customHeight="1" spans="1:20" x14ac:dyDescent="0.25">
      <c r="A72" s="70"/>
      <c r="B72" s="242" t="s">
        <v>8</v>
      </c>
      <c r="C72" s="9"/>
      <c r="D72" s="9"/>
      <c r="E72" s="9"/>
      <c r="F72" s="9"/>
      <c r="G72" s="9"/>
      <c r="H72" s="9"/>
      <c r="I72" s="9"/>
      <c r="J72" s="9"/>
      <c r="K72" s="9"/>
      <c r="L72" s="10"/>
      <c r="M72" s="134" t="s">
        <v>9</v>
      </c>
      <c r="N72" s="9"/>
      <c r="O72" s="9"/>
      <c r="P72" s="9"/>
      <c r="Q72" s="9"/>
      <c r="R72" s="9"/>
      <c r="S72" s="10"/>
      <c r="T72" s="70"/>
    </row>
    <row r="73" ht="20.25" customHeight="1" spans="1:20" x14ac:dyDescent="0.25">
      <c r="A73" s="70"/>
      <c r="B73" s="167" t="s">
        <v>10</v>
      </c>
      <c r="C73" s="167" t="s">
        <v>11</v>
      </c>
      <c r="D73" s="167" t="s">
        <v>12</v>
      </c>
      <c r="E73" s="197" t="s">
        <v>86</v>
      </c>
      <c r="F73" s="198"/>
      <c r="G73" s="199" t="s">
        <v>87</v>
      </c>
      <c r="H73" s="200"/>
      <c r="I73" s="250" t="s">
        <v>88</v>
      </c>
      <c r="J73" s="250" t="s">
        <v>78</v>
      </c>
      <c r="K73" s="250" t="s">
        <v>89</v>
      </c>
      <c r="L73" s="167" t="s">
        <v>79</v>
      </c>
      <c r="M73" s="170" t="s">
        <v>20</v>
      </c>
      <c r="N73" s="45" t="s">
        <v>21</v>
      </c>
      <c r="O73" s="45" t="s">
        <v>22</v>
      </c>
      <c r="P73" s="171" t="s">
        <v>23</v>
      </c>
      <c r="Q73" s="170" t="s">
        <v>24</v>
      </c>
      <c r="R73" s="170" t="s">
        <v>25</v>
      </c>
      <c r="S73" s="170" t="s">
        <v>26</v>
      </c>
      <c r="T73" s="70"/>
    </row>
    <row r="74" ht="24.75" customHeight="1" spans="1:20" x14ac:dyDescent="0.25">
      <c r="A74" s="70"/>
      <c r="B74" s="42">
        <v>1</v>
      </c>
      <c r="C74" s="217"/>
      <c r="D74" s="210"/>
      <c r="E74" s="202"/>
      <c r="F74" s="10"/>
      <c r="G74" s="208"/>
      <c r="H74" s="10"/>
      <c r="I74" s="218"/>
      <c r="J74" s="203"/>
      <c r="K74" s="219" t="str">
        <f>IF(SUM(J74:J76)&lt;&gt;I74,"Revisar","Correcto")</f>
        <v>Correcto</v>
      </c>
      <c r="L74" s="41"/>
      <c r="M74" s="43" t="s">
        <v>28</v>
      </c>
      <c r="N74" s="92"/>
      <c r="O74" s="180"/>
      <c r="P74" s="92"/>
      <c r="Q74" s="251"/>
      <c r="R74" s="251"/>
      <c r="S74" s="45"/>
      <c r="T74" s="70"/>
    </row>
    <row r="75" ht="24.75" customHeight="1" spans="1:20" x14ac:dyDescent="0.25">
      <c r="A75" s="70"/>
      <c r="B75" s="42">
        <f t="shared" ref="B75:B82" si="7">B74+1</f>
        <v>2</v>
      </c>
      <c r="C75" s="217"/>
      <c r="D75" s="210"/>
      <c r="E75" s="202"/>
      <c r="F75" s="10"/>
      <c r="G75" s="208"/>
      <c r="H75" s="10"/>
      <c r="I75" s="221"/>
      <c r="J75" s="203"/>
      <c r="K75" s="221"/>
      <c r="L75" s="41"/>
      <c r="M75" s="43" t="s">
        <v>28</v>
      </c>
      <c r="N75" s="92"/>
      <c r="O75" s="180"/>
      <c r="P75" s="92"/>
      <c r="Q75" s="251"/>
      <c r="R75" s="251"/>
      <c r="S75" s="45"/>
      <c r="T75" s="70"/>
    </row>
    <row r="76" ht="24.75" customHeight="1" spans="1:20" x14ac:dyDescent="0.25">
      <c r="A76" s="70"/>
      <c r="B76" s="42">
        <f t="shared" si="7"/>
        <v>3</v>
      </c>
      <c r="C76" s="217"/>
      <c r="D76" s="210"/>
      <c r="E76" s="202"/>
      <c r="F76" s="10"/>
      <c r="G76" s="208"/>
      <c r="H76" s="10"/>
      <c r="I76" s="222"/>
      <c r="J76" s="203"/>
      <c r="K76" s="222"/>
      <c r="L76" s="41"/>
      <c r="M76" s="43" t="s">
        <v>28</v>
      </c>
      <c r="N76" s="92"/>
      <c r="O76" s="180"/>
      <c r="P76" s="92"/>
      <c r="Q76" s="251"/>
      <c r="R76" s="251"/>
      <c r="S76" s="45"/>
      <c r="T76" s="70"/>
    </row>
    <row r="77" ht="24.75" customHeight="1" spans="1:20" x14ac:dyDescent="0.25">
      <c r="A77" s="70"/>
      <c r="B77" s="42">
        <f t="shared" si="7"/>
        <v>4</v>
      </c>
      <c r="C77" s="223"/>
      <c r="D77" s="206"/>
      <c r="E77" s="224"/>
      <c r="F77" s="10"/>
      <c r="G77" s="208"/>
      <c r="H77" s="10"/>
      <c r="I77" s="209"/>
      <c r="J77" s="209"/>
      <c r="K77" s="209" t="str">
        <f t="shared" ref="K77:K79" si="8">IF(SUM(J77)&lt;&gt;I77,"Revisar","Correcto")</f>
        <v>Correcto</v>
      </c>
      <c r="L77" s="41"/>
      <c r="M77" s="43" t="s">
        <v>28</v>
      </c>
      <c r="N77" s="92"/>
      <c r="O77" s="180"/>
      <c r="P77" s="92"/>
      <c r="Q77" s="251"/>
      <c r="R77" s="251"/>
      <c r="S77" s="45"/>
      <c r="T77" s="70"/>
    </row>
    <row r="78" ht="24.75" customHeight="1" spans="1:20" x14ac:dyDescent="0.25">
      <c r="A78" s="70"/>
      <c r="B78" s="42">
        <f t="shared" si="7"/>
        <v>5</v>
      </c>
      <c r="C78" s="252"/>
      <c r="D78" s="183"/>
      <c r="E78" s="202"/>
      <c r="F78" s="10"/>
      <c r="G78" s="208"/>
      <c r="H78" s="10"/>
      <c r="I78" s="253"/>
      <c r="J78" s="253"/>
      <c r="K78" s="209" t="str">
        <f t="shared" si="8"/>
        <v>Correcto</v>
      </c>
      <c r="L78" s="41"/>
      <c r="M78" s="43" t="s">
        <v>28</v>
      </c>
      <c r="N78" s="92"/>
      <c r="O78" s="180"/>
      <c r="P78" s="92"/>
      <c r="Q78" s="251"/>
      <c r="R78" s="251"/>
      <c r="S78" s="45"/>
      <c r="T78" s="70"/>
    </row>
    <row r="79" ht="24.75" customHeight="1" spans="1:20" x14ac:dyDescent="0.25">
      <c r="A79" s="70"/>
      <c r="B79" s="42">
        <f t="shared" si="7"/>
        <v>6</v>
      </c>
      <c r="C79" s="223"/>
      <c r="D79" s="206"/>
      <c r="E79" s="224"/>
      <c r="F79" s="10"/>
      <c r="G79" s="208"/>
      <c r="H79" s="10"/>
      <c r="I79" s="209"/>
      <c r="J79" s="209"/>
      <c r="K79" s="209" t="str">
        <f t="shared" si="8"/>
        <v>Correcto</v>
      </c>
      <c r="L79" s="41"/>
      <c r="M79" s="43" t="s">
        <v>28</v>
      </c>
      <c r="N79" s="92"/>
      <c r="O79" s="180"/>
      <c r="P79" s="92"/>
      <c r="Q79" s="251"/>
      <c r="R79" s="251"/>
      <c r="S79" s="45"/>
      <c r="T79" s="70"/>
    </row>
    <row r="80" ht="24.75" customHeight="1" spans="1:20" x14ac:dyDescent="0.25">
      <c r="A80" s="70"/>
      <c r="B80" s="42">
        <f t="shared" si="7"/>
        <v>7</v>
      </c>
      <c r="C80" s="217"/>
      <c r="D80" s="210"/>
      <c r="E80" s="202"/>
      <c r="F80" s="10"/>
      <c r="G80" s="208"/>
      <c r="H80" s="10"/>
      <c r="I80" s="218"/>
      <c r="J80" s="203"/>
      <c r="K80" s="219" t="str">
        <f>IF(SUM(J80:J82)&lt;&gt;I80,"Revisar","Correcto")</f>
        <v>Correcto</v>
      </c>
      <c r="L80" s="41"/>
      <c r="M80" s="43" t="s">
        <v>28</v>
      </c>
      <c r="N80" s="92"/>
      <c r="O80" s="180"/>
      <c r="P80" s="92"/>
      <c r="Q80" s="251"/>
      <c r="R80" s="251"/>
      <c r="S80" s="45"/>
      <c r="T80" s="70"/>
    </row>
    <row r="81" ht="24.75" customHeight="1" spans="1:20" x14ac:dyDescent="0.25">
      <c r="A81" s="70"/>
      <c r="B81" s="42">
        <f t="shared" si="7"/>
        <v>8</v>
      </c>
      <c r="C81" s="217"/>
      <c r="D81" s="210"/>
      <c r="E81" s="202"/>
      <c r="F81" s="10"/>
      <c r="G81" s="208"/>
      <c r="H81" s="10"/>
      <c r="I81" s="221"/>
      <c r="J81" s="203"/>
      <c r="K81" s="221"/>
      <c r="L81" s="41"/>
      <c r="M81" s="43" t="s">
        <v>28</v>
      </c>
      <c r="N81" s="92"/>
      <c r="O81" s="180"/>
      <c r="P81" s="92"/>
      <c r="Q81" s="251"/>
      <c r="R81" s="251"/>
      <c r="S81" s="45"/>
      <c r="T81" s="70"/>
    </row>
    <row r="82" ht="24.75" customHeight="1" spans="1:20" x14ac:dyDescent="0.25">
      <c r="A82" s="70"/>
      <c r="B82" s="42">
        <f t="shared" si="7"/>
        <v>9</v>
      </c>
      <c r="C82" s="217"/>
      <c r="D82" s="210"/>
      <c r="E82" s="202"/>
      <c r="F82" s="10"/>
      <c r="G82" s="208"/>
      <c r="H82" s="10"/>
      <c r="I82" s="222"/>
      <c r="J82" s="203"/>
      <c r="K82" s="222"/>
      <c r="L82" s="41"/>
      <c r="M82" s="43" t="s">
        <v>28</v>
      </c>
      <c r="N82" s="92"/>
      <c r="O82" s="180"/>
      <c r="P82" s="92"/>
      <c r="Q82" s="251"/>
      <c r="R82" s="251"/>
      <c r="S82" s="45"/>
      <c r="T82" s="70"/>
    </row>
    <row r="83" ht="29.25" customHeight="1" spans="1:20" x14ac:dyDescent="0.25">
      <c r="A83" s="1"/>
      <c r="B83" s="57"/>
      <c r="C83" s="58"/>
      <c r="D83" s="57"/>
      <c r="E83" s="58"/>
      <c r="F83" s="57"/>
      <c r="G83" s="57"/>
      <c r="H83" s="57"/>
      <c r="I83" s="254"/>
      <c r="J83" s="254"/>
      <c r="K83" s="254"/>
      <c r="L83" s="58"/>
      <c r="M83" s="57"/>
      <c r="N83" s="57"/>
      <c r="O83" s="58"/>
      <c r="P83" s="57"/>
      <c r="Q83" s="57"/>
      <c r="R83" s="57"/>
      <c r="S83" s="57"/>
      <c r="T83" s="1"/>
    </row>
  </sheetData>
  <mergeCells count="166">
    <mergeCell ref="B2:S2"/>
    <mergeCell ref="B4:S4"/>
    <mergeCell ref="B6:D6"/>
    <mergeCell ref="J6:K6"/>
    <mergeCell ref="N6:Q6"/>
    <mergeCell ref="B8:L8"/>
    <mergeCell ref="M8:S8"/>
    <mergeCell ref="E9:F9"/>
    <mergeCell ref="G9:H9"/>
    <mergeCell ref="E10:F10"/>
    <mergeCell ref="G10:H10"/>
    <mergeCell ref="E11:F11"/>
    <mergeCell ref="G11:H11"/>
    <mergeCell ref="E12:F12"/>
    <mergeCell ref="G12:H12"/>
    <mergeCell ref="E13:F13"/>
    <mergeCell ref="G13:H13"/>
    <mergeCell ref="M13:N13"/>
    <mergeCell ref="O13:P13"/>
    <mergeCell ref="Q13:R13"/>
    <mergeCell ref="B14:S14"/>
    <mergeCell ref="B16:D16"/>
    <mergeCell ref="J16:K16"/>
    <mergeCell ref="N16:Q16"/>
    <mergeCell ref="B18:L18"/>
    <mergeCell ref="M18:S18"/>
    <mergeCell ref="E19:F19"/>
    <mergeCell ref="G19:H19"/>
    <mergeCell ref="E20:F20"/>
    <mergeCell ref="G20:H20"/>
    <mergeCell ref="E21:F21"/>
    <mergeCell ref="G21:H21"/>
    <mergeCell ref="I20:I25"/>
    <mergeCell ref="K20:K25"/>
    <mergeCell ref="E22:F22"/>
    <mergeCell ref="G22:H22"/>
    <mergeCell ref="E23:F23"/>
    <mergeCell ref="G23:H23"/>
    <mergeCell ref="E24:F24"/>
    <mergeCell ref="G24:H24"/>
    <mergeCell ref="E25:F25"/>
    <mergeCell ref="G25:H25"/>
    <mergeCell ref="E26:F26"/>
    <mergeCell ref="G26:H26"/>
    <mergeCell ref="E27:F27"/>
    <mergeCell ref="G27:H27"/>
    <mergeCell ref="I26:I28"/>
    <mergeCell ref="K26:K28"/>
    <mergeCell ref="E28:F28"/>
    <mergeCell ref="G28:H28"/>
    <mergeCell ref="E29:F29"/>
    <mergeCell ref="G29:H29"/>
    <mergeCell ref="E30:F30"/>
    <mergeCell ref="G30:H30"/>
    <mergeCell ref="E31:F31"/>
    <mergeCell ref="G31:H31"/>
    <mergeCell ref="E32:F32"/>
    <mergeCell ref="G32:H32"/>
    <mergeCell ref="I31:I33"/>
    <mergeCell ref="K31:K33"/>
    <mergeCell ref="E33:F33"/>
    <mergeCell ref="G33:H33"/>
    <mergeCell ref="E34:F34"/>
    <mergeCell ref="G34:H34"/>
    <mergeCell ref="E35:F35"/>
    <mergeCell ref="G35:H35"/>
    <mergeCell ref="E36:F36"/>
    <mergeCell ref="G36:H36"/>
    <mergeCell ref="I35:I37"/>
    <mergeCell ref="K35:K37"/>
    <mergeCell ref="E37:F37"/>
    <mergeCell ref="G37:H37"/>
    <mergeCell ref="E38:F38"/>
    <mergeCell ref="G38:H38"/>
    <mergeCell ref="E39:F39"/>
    <mergeCell ref="G39:H39"/>
    <mergeCell ref="I38:I41"/>
    <mergeCell ref="K38:K41"/>
    <mergeCell ref="E40:F40"/>
    <mergeCell ref="G40:H40"/>
    <mergeCell ref="E41:F41"/>
    <mergeCell ref="G41:H41"/>
    <mergeCell ref="E42:F42"/>
    <mergeCell ref="G42:H42"/>
    <mergeCell ref="B43:S43"/>
    <mergeCell ref="B45:D45"/>
    <mergeCell ref="J45:K45"/>
    <mergeCell ref="N45:Q45"/>
    <mergeCell ref="B47:L47"/>
    <mergeCell ref="M47:S47"/>
    <mergeCell ref="E48:F48"/>
    <mergeCell ref="G48:H48"/>
    <mergeCell ref="E49:F49"/>
    <mergeCell ref="G49:H49"/>
    <mergeCell ref="E50:F50"/>
    <mergeCell ref="G50:H50"/>
    <mergeCell ref="I49:I52"/>
    <mergeCell ref="K49:K52"/>
    <mergeCell ref="E51:F51"/>
    <mergeCell ref="G51:H51"/>
    <mergeCell ref="E52:F52"/>
    <mergeCell ref="G52:H52"/>
    <mergeCell ref="E53:F53"/>
    <mergeCell ref="G53:H53"/>
    <mergeCell ref="E54:F54"/>
    <mergeCell ref="G54:H54"/>
    <mergeCell ref="E55:F55"/>
    <mergeCell ref="G55:H55"/>
    <mergeCell ref="E56:F56"/>
    <mergeCell ref="G56:H56"/>
    <mergeCell ref="I55:I56"/>
    <mergeCell ref="K55:K56"/>
    <mergeCell ref="E57:F57"/>
    <mergeCell ref="G57:H57"/>
    <mergeCell ref="E58:F58"/>
    <mergeCell ref="G58:H58"/>
    <mergeCell ref="E59:F59"/>
    <mergeCell ref="G59:H59"/>
    <mergeCell ref="I58:I59"/>
    <mergeCell ref="K58:K59"/>
    <mergeCell ref="E60:F60"/>
    <mergeCell ref="G60:H60"/>
    <mergeCell ref="E61:F61"/>
    <mergeCell ref="G61:H61"/>
    <mergeCell ref="I60:I61"/>
    <mergeCell ref="K60:K61"/>
    <mergeCell ref="E62:F62"/>
    <mergeCell ref="G62:H62"/>
    <mergeCell ref="E63:F63"/>
    <mergeCell ref="G63:H63"/>
    <mergeCell ref="E64:F64"/>
    <mergeCell ref="G64:H64"/>
    <mergeCell ref="E65:F65"/>
    <mergeCell ref="G65:H65"/>
    <mergeCell ref="E66:F66"/>
    <mergeCell ref="G66:H66"/>
    <mergeCell ref="B68:S68"/>
    <mergeCell ref="B70:D70"/>
    <mergeCell ref="J70:K70"/>
    <mergeCell ref="N70:Q70"/>
    <mergeCell ref="B72:L72"/>
    <mergeCell ref="M72:S72"/>
    <mergeCell ref="E73:F73"/>
    <mergeCell ref="G73:H73"/>
    <mergeCell ref="E74:F74"/>
    <mergeCell ref="G74:H74"/>
    <mergeCell ref="E75:F75"/>
    <mergeCell ref="G75:H75"/>
    <mergeCell ref="I74:I76"/>
    <mergeCell ref="K74:K76"/>
    <mergeCell ref="E76:F76"/>
    <mergeCell ref="G76:H76"/>
    <mergeCell ref="E77:F77"/>
    <mergeCell ref="G77:H77"/>
    <mergeCell ref="E78:F78"/>
    <mergeCell ref="G78:H78"/>
    <mergeCell ref="E79:F79"/>
    <mergeCell ref="G79:H79"/>
    <mergeCell ref="E80:F80"/>
    <mergeCell ref="G80:H80"/>
    <mergeCell ref="E81:F81"/>
    <mergeCell ref="G81:H81"/>
    <mergeCell ref="I80:I82"/>
    <mergeCell ref="K80:K82"/>
    <mergeCell ref="E82:F82"/>
    <mergeCell ref="G82:H82"/>
  </mergeCells>
  <conditionalFormatting sqref="L6 K10:K12 L16 K20 K26 K28:K35 K38:K39 L45 K49 K53:K66 K74 K77:K80">
    <cfRule type="cellIs" dxfId="59" priority="13" operator="equal">
      <formula>"Correcto"</formula>
    </cfRule>
    <cfRule type="cellIs" dxfId="60" priority="14" operator="equal">
      <formula>"Revisar"</formula>
    </cfRule>
  </conditionalFormatting>
  <conditionalFormatting sqref="M10:M12 S10:S12 M20:M41 S20:S41 M49:M66 S49:S66 M74:M82 S74:S82">
    <cfRule type="cellIs" dxfId="61" priority="15" operator="equal">
      <formula>"Aprobado"</formula>
    </cfRule>
    <cfRule type="cellIs" dxfId="62" priority="16" operator="equal">
      <formula>"Aprobado parcial."</formula>
    </cfRule>
    <cfRule type="cellIs" dxfId="63" priority="17" operator="equal">
      <formula>"Rechazado"</formula>
    </cfRule>
    <cfRule type="cellIs" dxfId="64" priority="18" operator="equal">
      <formula>"Pendiente"</formula>
    </cfRule>
  </conditionalFormatting>
  <conditionalFormatting sqref="M10:S12 M20:M41 Q20:S41 M49:M66 Q49:S66 M74:M82 S74:S82">
    <cfRule type="containsBlanks" dxfId="65" priority="20" operator="containsBlanks">
      <formula>LEN(TRIM(M10))=0</formula>
    </cfRule>
  </conditionalFormatting>
  <conditionalFormatting sqref="S10:S12 S20:S41 S49:S66 S74:S82">
    <cfRule type="cellIs" dxfId="66" priority="3" operator="equal">
      <formula>"Sin efecto"</formula>
    </cfRule>
    <cfRule type="cellIs" dxfId="67" priority="4" operator="equal">
      <formula>"Vigente"</formula>
    </cfRule>
    <cfRule type="cellIs" dxfId="68" priority="5" operator="equal">
      <formula>"Renuncia"</formula>
    </cfRule>
    <cfRule type="cellIs" dxfId="69" priority="6" operator="equal">
      <formula>"Renuncia parcial"</formula>
    </cfRule>
    <cfRule type="cellIs" dxfId="70" priority="7" operator="equal">
      <formula>"Reubicación"</formula>
    </cfRule>
    <cfRule type="cellIs" dxfId="71" priority="8" operator="equal">
      <formula>"Cese"</formula>
    </cfRule>
    <cfRule type="cellIs" dxfId="72" priority="9" operator="equal">
      <formula>"Defunción"</formula>
    </cfRule>
    <cfRule type="cellIs" dxfId="73" priority="10" operator="equal">
      <formula>"Cambio fondo"</formula>
    </cfRule>
    <cfRule type="cellIs" dxfId="74" priority="11" operator="equal">
      <formula>"No asume"</formula>
    </cfRule>
  </conditionalFormatting>
  <conditionalFormatting sqref="S20:S41 S49:S66 S74:S82">
    <cfRule type="cellIs" dxfId="75" priority="1" operator="equal">
      <formula>"Fallecido/a"</formula>
    </cfRule>
    <cfRule type="cellIs" dxfId="76" priority="2" operator="equal">
      <formula>"Destinación"</formula>
    </cfRule>
  </conditionalFormatting>
  <dataValidations count="16">
    <dataValidation type="list" allowBlank="1" sqref="E10:E12">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E20:E41">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E49:E66">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E74:E82">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G10:G12">
      <formula1>"Lenguaje,Matemática,Inglés,Historia y Geo.,CS. Naturales,Biología,Química,Física,Art. Visuales,Ed. Artística,Música,Ed. Artística,Ed. Física,Filosofía,Religión,Tecnología,Asig. Téc. Prof.,Orientación,Lengua Indígena,10 Educación Parvularia,110 Enseñanza G"&amp;"ral. Básica,165 Ed. Bás. Adultos Sin Oficios,211 Ed. Especial Disc. Auditiva	,212 Ed. Especial Disc. Intelectual,213 Ed. Especial Disc. Visual,214 Ed. Especial Trast. Espec. Leng.,215 Ed. Especial Trast. Motores,216 Ed. Especial Autismo,310 E. Media HC ni"&amp;"ños y jóvenes,360 Ed. Media HC Adultos Vespertina y Nocturno,363 Ed. Media HC Adultos	,410 E. Media TP Comercial niños,463 Ed. Media TP Adultos Comercial,510 E. Media TP Industrial niños,563 Ed. Media TP Adultos Industrial,610 E. Media TP Técnica niños	,6"&amp;"63 Ed. Media TP Adultos Técnica,710 E. Media TP Agrícola niños,763 Ed. Media TP Adultos Agrícola,810 E. Media TP Marítima niños,863 Ed. Media TP Adultos Marítima	,910 E. Media Artística Niños y Jóvenes,963 Enseñanza Media Artística Adultos,Rel. Católica,R"&amp;"el. Evangélica"</formula1>
    </dataValidation>
    <dataValidation type="list" allowBlank="1" sqref="G20:G41">
      <formula1>"Lenguaje,Matemática,Inglés,Historia y Geo.,CS. Naturales,Biología,Química,Física,Art. Visuales,Ed. Artística,Música,Ed. Artística,Ed. Física,Filosofía,Religión,Tecnología,Asig. Téc. Prof.,Orientación,Lengua Indígena,10 Educación Parvularia,110 Enseñanza G"&amp;"ral. Básica,165 Ed. Bás. Adultos Sin Oficios,211 Ed. Especial Disc. Auditiva	,212 Ed. Especial Disc. Intelectual,213 Ed. Especial Disc. Visual,214 Ed. Especial Trast. Espec. Leng.,215 Ed. Especial Trast. Motores,216 Ed. Especial Autismo,310 E. Media HC ni"&amp;"ños y jóvenes,360 Ed. Media HC Adultos Vespertina y Nocturno,363 Ed. Media HC Adultos	,410 E. Media TP Comercial niños,463 Ed. Media TP Adultos Comercial,510 E. Media TP Industrial niños,563 Ed. Media TP Adultos Industrial,610 E. Media TP Técnica niños	,6"&amp;"63 Ed. Media TP Adultos Técnica,710 E. Media TP Agrícola niños,763 Ed. Media TP Adultos Agrícola,810 E. Media TP Marítima niños,863 Ed. Media TP Adultos Marítima	,910 E. Media Artística Niños y Jóvenes,963 Enseñanza Media Artística Adultos,Rel. Católica,R"&amp;"el. Evangélica"</formula1>
    </dataValidation>
    <dataValidation type="list" allowBlank="1" sqref="G49:G66">
      <formula1>"Lenguaje,Matemática,Inglés,Historia y Geo.,CS. Naturales,Biología,Química,Física,Art. Visuales,Ed. Artística,Música,Ed. Artística,Ed. Física,Filosofía,Religión,Tecnología,Asig. Téc. Prof.,Orientación,Lengua Indígena,10 Educación Parvularia,110 Enseñanza G"&amp;"ral. Básica,165 Ed. Bás. Adultos Sin Oficios,211 Ed. Especial Disc. Auditiva	,212 Ed. Especial Disc. Intelectual,213 Ed. Especial Disc. Visual,214 Ed. Especial Trast. Espec. Leng.,215 Ed. Especial Trast. Motores,216 Ed. Especial Autismo,310 E. Media HC ni"&amp;"ños y jóvenes,360 Ed. Media HC Adultos Vespertina y Nocturno,363 Ed. Media HC Adultos	,410 E. Media TP Comercial niños,463 Ed. Media TP Adultos Comercial,510 E. Media TP Industrial niños,563 Ed. Media TP Adultos Industrial,610 E. Media TP Técnica niños	,6"&amp;"63 Ed. Media TP Adultos Técnica,710 E. Media TP Agrícola niños,763 Ed. Media TP Adultos Agrícola,810 E. Media TP Marítima niños,863 Ed. Media TP Adultos Marítima	,910 E. Media Artística Niños y Jóvenes,963 Enseñanza Media Artística Adultos,Rel. Católica,R"&amp;"el. Evangélica"</formula1>
    </dataValidation>
    <dataValidation type="list" allowBlank="1" sqref="G74:G82">
      <formula1>"Lenguaje,Matemática,Inglés,Historia y Geo.,CS. Naturales,Biología,Química,Física,Art. Visuales,Ed. Artística,Música,Ed. Artística,Ed. Física,Filosofía,Religión,Tecnología,Asig. Téc. Prof.,Orientación,Lengua Indígena,10 Educación Parvularia,110 Enseñanza G"&amp;"ral. Básica,165 Ed. Bás. Adultos Sin Oficios,211 Ed. Especial Disc. Auditiva	,212 Ed. Especial Disc. Intelectual,213 Ed. Especial Disc. Visual,214 Ed. Especial Trast. Espec. Leng.,215 Ed. Especial Trast. Motores,216 Ed. Especial Autismo,310 E. Media HC ni"&amp;"ños y jóvenes,360 Ed. Media HC Adultos Vespertina y Nocturno,363 Ed. Media HC Adultos	,410 E. Media TP Comercial niños,463 Ed. Media TP Adultos Comercial,510 E. Media TP Industrial niños,563 Ed. Media TP Adultos Industrial,610 E. Media TP Técnica niños	,6"&amp;"63 Ed. Media TP Adultos Técnica,710 E. Media TP Agrícola niños,763 Ed. Media TP Adultos Agrícola,810 E. Media TP Marítima niños,863 Ed. Media TP Adultos Marítima	,910 E. Media Artística Niños y Jóvenes,963 Enseñanza Media Artística Adultos,Rel. Católica,R"&amp;"el. Evangélica"</formula1>
    </dataValidation>
    <dataValidation type="list" allowBlank="1" sqref="M10:M12">
      <formula1>"Aprobado,Aprobado parcial.,Rechazado,Pendiente"</formula1>
    </dataValidation>
    <dataValidation type="list" allowBlank="1" sqref="M20:M41">
      <formula1>"Aprobado,Aprobado parcial.,Rechazado,Pendiente"</formula1>
    </dataValidation>
    <dataValidation type="list" allowBlank="1" sqref="M49:M66">
      <formula1>"Aprobado,Aprobado parcial.,Rechazado,Pendiente"</formula1>
    </dataValidation>
    <dataValidation type="list" allowBlank="1" sqref="M74:M82">
      <formula1>"Aprobado,Aprobado parcial.,Rechazado,Pendiente"</formula1>
    </dataValidation>
    <dataValidation type="list" allowBlank="1" sqref="S10:S12">
      <formula1>"Vigente,Renuncia,Pendiente,Reubicación,Cese,Defunción,Renuncia parcial,Cambio fondo,No asume,Sin efecto"</formula1>
    </dataValidation>
    <dataValidation type="list" allowBlank="1" sqref="S20:S41">
      <formula1>"Vigente,Renuncia,Pendiente,Cese,Defunción,Renuncia parcial,Cambio fondo,No asume,Sin efecto,Fallecido/a,Destinación"</formula1>
    </dataValidation>
    <dataValidation type="list" allowBlank="1" sqref="S49:S66">
      <formula1>"Vigente,Renuncia,Pendiente,Cese,Defunción,Renuncia parcial,Cambio fondo,No asume,Sin efecto,Fallecido/a,Destinación"</formula1>
    </dataValidation>
    <dataValidation type="list" allowBlank="1" sqref="S74:S82">
      <formula1>"Vigente,Renuncia,Pendiente,Cese,Defunción,Renuncia parcial,Cambio fondo,No asume,Sin efecto,Fallecido/a,Destinación"</formula1>
    </dataValidation>
  </dataValidation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outlinePr summaryBelow="0" summaryRight="0"/>
  </sheetPr>
  <dimension ref="A1:S45"/>
  <sheetViews>
    <sheetView workbookViewId="0" zoomScale="100" zoomScaleNormal="100">
      <pane ySplit="2" topLeftCell="A3" activePane="bottomLeft" state="frozen"/>
      <selection pane="bottomLeft" activeCell="B4" sqref="B4"/>
    </sheetView>
  </sheetViews>
  <sheetFormatPr defaultRowHeight="15" outlineLevelRow="0" outlineLevelCol="0" x14ac:dyDescent="0.3" defaultColWidth="14.3984375"/>
  <cols>
    <col min="1" max="1" width="2.8984375" customWidth="1"/>
    <col min="2" max="2" width="4.59765625" customWidth="1"/>
    <col min="3" max="3" width="22.3984375" customWidth="1"/>
    <col min="4" max="4" width="11" customWidth="1"/>
    <col min="5" max="5" width="13.59765625" customWidth="1"/>
    <col min="6" max="6" width="8.8984375" customWidth="1"/>
    <col min="7" max="7" width="15.296875" customWidth="1"/>
    <col min="8" max="8" width="8" customWidth="1"/>
    <col min="9" max="9" width="13.8984375" customWidth="1"/>
    <col min="10" max="10" width="9.09765625" customWidth="1"/>
    <col min="11" max="11" width="18.59765625" customWidth="1"/>
    <col min="12" max="12" width="12.8984375" customWidth="1"/>
    <col min="13" max="13" width="8.3984375" customWidth="1"/>
    <col min="14" max="14" width="18.59765625" customWidth="1"/>
    <col min="15" max="15" width="7.09765625" customWidth="1"/>
    <col min="16" max="17" width="9.59765625" customWidth="1"/>
    <col min="18" max="18" width="11.8984375" customWidth="1"/>
    <col min="19" max="19" width="2.8984375" customWidth="1"/>
  </cols>
  <sheetData>
    <row r="1" ht="9.75" customHeight="1" spans="1:19" x14ac:dyDescent="0.25">
      <c r="A1" s="1"/>
      <c r="B1" s="97"/>
      <c r="C1" s="98"/>
      <c r="D1" s="97"/>
      <c r="E1" s="97"/>
      <c r="F1" s="97"/>
      <c r="G1" s="98"/>
      <c r="H1" s="97"/>
      <c r="I1" s="98"/>
      <c r="J1" s="97"/>
      <c r="K1" s="98"/>
      <c r="L1" s="97"/>
      <c r="M1" s="97"/>
      <c r="N1" s="98"/>
      <c r="O1" s="97"/>
      <c r="P1" s="99"/>
      <c r="Q1" s="4"/>
      <c r="R1" s="4"/>
      <c r="S1" s="12"/>
    </row>
    <row r="2" ht="16.5" customHeight="1" spans="1:19" x14ac:dyDescent="0.25">
      <c r="A2" s="151"/>
      <c r="B2" s="255" t="s">
        <v>103</v>
      </c>
      <c r="C2" s="9"/>
      <c r="D2" s="9"/>
      <c r="E2" s="9"/>
      <c r="F2" s="9"/>
      <c r="G2" s="9"/>
      <c r="H2" s="9"/>
      <c r="I2" s="9"/>
      <c r="J2" s="9"/>
      <c r="K2" s="9"/>
      <c r="L2" s="9"/>
      <c r="M2" s="9"/>
      <c r="N2" s="9"/>
      <c r="O2" s="9"/>
      <c r="P2" s="9"/>
      <c r="Q2" s="9"/>
      <c r="R2" s="10"/>
      <c r="S2" s="120"/>
    </row>
    <row r="3" ht="14.25" customHeight="1" spans="1:19" x14ac:dyDescent="0.25">
      <c r="A3" s="102"/>
      <c r="B3" s="2"/>
      <c r="C3" s="3"/>
      <c r="D3" s="12"/>
      <c r="E3" s="2"/>
      <c r="F3" s="2"/>
      <c r="G3" s="3"/>
      <c r="H3" s="2"/>
      <c r="I3" s="3"/>
      <c r="J3" s="2"/>
      <c r="K3" s="3"/>
      <c r="L3" s="15"/>
      <c r="M3" s="15"/>
      <c r="N3" s="153"/>
      <c r="O3" s="191"/>
      <c r="P3" s="191"/>
      <c r="Q3" s="191"/>
      <c r="R3" s="191"/>
      <c r="S3" s="154"/>
    </row>
    <row r="4" ht="16.5" customHeight="1" spans="1:19" x14ac:dyDescent="0.25">
      <c r="A4" s="151"/>
      <c r="B4" s="256" t="s">
        <v>104</v>
      </c>
      <c r="C4" s="9"/>
      <c r="D4" s="83"/>
      <c r="E4" s="257">
        <f>SUM(H8:H37)</f>
        <v>0</v>
      </c>
      <c r="F4" s="258"/>
      <c r="G4" s="158" t="s">
        <v>4</v>
      </c>
      <c r="H4" s="9"/>
      <c r="I4" s="83"/>
      <c r="J4" s="257">
        <f>SUM(J8:J43)</f>
        <v>0</v>
      </c>
      <c r="K4" s="159"/>
      <c r="L4" s="158" t="s">
        <v>105</v>
      </c>
      <c r="M4" s="9"/>
      <c r="N4" s="10"/>
      <c r="O4" s="257">
        <f>SUM(M8:M43)</f>
        <v>0</v>
      </c>
      <c r="P4" s="232"/>
      <c r="Q4" s="232"/>
      <c r="R4" s="232"/>
      <c r="S4" s="78"/>
    </row>
    <row r="5" ht="14.25" customHeight="1" spans="1:19" x14ac:dyDescent="0.25">
      <c r="A5" s="151"/>
      <c r="B5" s="12"/>
      <c r="C5" s="160"/>
      <c r="D5" s="12"/>
      <c r="E5" s="12"/>
      <c r="F5" s="163"/>
      <c r="G5" s="160"/>
      <c r="H5" s="12"/>
      <c r="I5" s="160"/>
      <c r="J5" s="12"/>
      <c r="K5" s="161"/>
      <c r="L5" s="12"/>
      <c r="M5" s="12"/>
      <c r="N5" s="161"/>
      <c r="O5" s="259"/>
      <c r="P5" s="259"/>
      <c r="Q5" s="259"/>
      <c r="R5" s="259"/>
      <c r="S5" s="62"/>
    </row>
    <row r="6" ht="14.25" customHeight="1" spans="1:19" x14ac:dyDescent="0.25">
      <c r="A6" s="151"/>
      <c r="B6" s="260" t="s">
        <v>106</v>
      </c>
      <c r="C6" s="9"/>
      <c r="D6" s="9"/>
      <c r="E6" s="9"/>
      <c r="F6" s="9"/>
      <c r="G6" s="9"/>
      <c r="H6" s="165"/>
      <c r="I6" s="261" t="s">
        <v>76</v>
      </c>
      <c r="J6" s="9"/>
      <c r="K6" s="10"/>
      <c r="L6" s="134" t="s">
        <v>9</v>
      </c>
      <c r="M6" s="9"/>
      <c r="N6" s="9"/>
      <c r="O6" s="9"/>
      <c r="P6" s="9"/>
      <c r="Q6" s="9"/>
      <c r="R6" s="10"/>
      <c r="S6" s="78"/>
    </row>
    <row r="7" ht="19.5" customHeight="1" spans="1:19" x14ac:dyDescent="0.25">
      <c r="A7" s="151"/>
      <c r="B7" s="167" t="s">
        <v>10</v>
      </c>
      <c r="C7" s="167" t="s">
        <v>11</v>
      </c>
      <c r="D7" s="167" t="s">
        <v>12</v>
      </c>
      <c r="E7" s="31" t="s">
        <v>14</v>
      </c>
      <c r="F7" s="31" t="s">
        <v>15</v>
      </c>
      <c r="G7" s="167" t="s">
        <v>77</v>
      </c>
      <c r="H7" s="31" t="s">
        <v>16</v>
      </c>
      <c r="I7" s="167" t="s">
        <v>17</v>
      </c>
      <c r="J7" s="167" t="s">
        <v>78</v>
      </c>
      <c r="K7" s="169" t="s">
        <v>79</v>
      </c>
      <c r="L7" s="170" t="s">
        <v>20</v>
      </c>
      <c r="M7" s="45" t="s">
        <v>21</v>
      </c>
      <c r="N7" s="45" t="s">
        <v>22</v>
      </c>
      <c r="O7" s="171" t="s">
        <v>23</v>
      </c>
      <c r="P7" s="170" t="s">
        <v>24</v>
      </c>
      <c r="Q7" s="170" t="s">
        <v>25</v>
      </c>
      <c r="R7" s="170" t="s">
        <v>26</v>
      </c>
      <c r="S7" s="78"/>
    </row>
    <row r="8" ht="15.75" customHeight="1" spans="1:19" x14ac:dyDescent="0.25">
      <c r="A8" s="151"/>
      <c r="B8" s="42">
        <v>1</v>
      </c>
      <c r="C8" s="172"/>
      <c r="D8" s="173"/>
      <c r="E8" s="173" t="s">
        <v>107</v>
      </c>
      <c r="F8" s="42"/>
      <c r="G8" s="175"/>
      <c r="H8" s="176"/>
      <c r="I8" s="262"/>
      <c r="J8" s="178"/>
      <c r="K8" s="179"/>
      <c r="L8" s="180" t="s">
        <v>28</v>
      </c>
      <c r="M8" s="178"/>
      <c r="N8" s="180"/>
      <c r="O8" s="92"/>
      <c r="P8" s="44"/>
      <c r="Q8" s="44"/>
      <c r="R8" s="45"/>
      <c r="S8" s="78"/>
    </row>
    <row r="9" ht="15.75" customHeight="1" spans="1:19" x14ac:dyDescent="0.25">
      <c r="A9" s="151"/>
      <c r="B9" s="42">
        <f t="shared" ref="B9:B37" si="0">B8+1</f>
        <v>2</v>
      </c>
      <c r="C9" s="172"/>
      <c r="D9" s="173"/>
      <c r="E9" s="173" t="s">
        <v>107</v>
      </c>
      <c r="F9" s="42"/>
      <c r="G9" s="175"/>
      <c r="H9" s="176"/>
      <c r="I9" s="262"/>
      <c r="J9" s="178"/>
      <c r="K9" s="179"/>
      <c r="L9" s="180" t="s">
        <v>28</v>
      </c>
      <c r="M9" s="178"/>
      <c r="N9" s="180"/>
      <c r="O9" s="92"/>
      <c r="P9" s="44"/>
      <c r="Q9" s="44"/>
      <c r="R9" s="45"/>
      <c r="S9" s="78"/>
    </row>
    <row r="10" ht="15.75" customHeight="1" spans="1:19" x14ac:dyDescent="0.25">
      <c r="A10" s="151"/>
      <c r="B10" s="42">
        <f t="shared" si="0"/>
        <v>3</v>
      </c>
      <c r="C10" s="172"/>
      <c r="D10" s="173"/>
      <c r="E10" s="173" t="s">
        <v>107</v>
      </c>
      <c r="F10" s="44"/>
      <c r="G10" s="175"/>
      <c r="H10" s="176"/>
      <c r="I10" s="262"/>
      <c r="J10" s="178"/>
      <c r="K10" s="179"/>
      <c r="L10" s="180" t="s">
        <v>28</v>
      </c>
      <c r="M10" s="178"/>
      <c r="N10" s="180"/>
      <c r="O10" s="92"/>
      <c r="P10" s="44"/>
      <c r="Q10" s="44"/>
      <c r="R10" s="45"/>
      <c r="S10" s="78"/>
    </row>
    <row r="11" ht="15.75" customHeight="1" spans="1:19" x14ac:dyDescent="0.25">
      <c r="A11" s="151"/>
      <c r="B11" s="42">
        <f t="shared" si="0"/>
        <v>4</v>
      </c>
      <c r="C11" s="172"/>
      <c r="D11" s="173"/>
      <c r="E11" s="173" t="s">
        <v>107</v>
      </c>
      <c r="F11" s="42"/>
      <c r="G11" s="175"/>
      <c r="H11" s="176"/>
      <c r="I11" s="262"/>
      <c r="J11" s="178"/>
      <c r="K11" s="179"/>
      <c r="L11" s="180" t="s">
        <v>28</v>
      </c>
      <c r="M11" s="178"/>
      <c r="N11" s="180"/>
      <c r="O11" s="92"/>
      <c r="P11" s="44"/>
      <c r="Q11" s="44"/>
      <c r="R11" s="45"/>
      <c r="S11" s="78"/>
    </row>
    <row r="12" ht="15.75" customHeight="1" spans="1:19" x14ac:dyDescent="0.25">
      <c r="A12" s="151"/>
      <c r="B12" s="42">
        <f t="shared" si="0"/>
        <v>5</v>
      </c>
      <c r="C12" s="172"/>
      <c r="D12" s="173"/>
      <c r="E12" s="173" t="s">
        <v>107</v>
      </c>
      <c r="F12" s="44"/>
      <c r="G12" s="175"/>
      <c r="H12" s="176"/>
      <c r="I12" s="262"/>
      <c r="J12" s="178"/>
      <c r="K12" s="179"/>
      <c r="L12" s="180" t="s">
        <v>28</v>
      </c>
      <c r="M12" s="178"/>
      <c r="N12" s="180"/>
      <c r="O12" s="92"/>
      <c r="P12" s="44"/>
      <c r="Q12" s="44"/>
      <c r="R12" s="45"/>
      <c r="S12" s="78"/>
    </row>
    <row r="13" ht="15.75" customHeight="1" spans="1:19" x14ac:dyDescent="0.25">
      <c r="A13" s="151"/>
      <c r="B13" s="42">
        <f t="shared" si="0"/>
        <v>6</v>
      </c>
      <c r="C13" s="172"/>
      <c r="D13" s="173"/>
      <c r="E13" s="173" t="s">
        <v>107</v>
      </c>
      <c r="F13" s="42"/>
      <c r="G13" s="175"/>
      <c r="H13" s="176"/>
      <c r="I13" s="262"/>
      <c r="J13" s="178"/>
      <c r="K13" s="179"/>
      <c r="L13" s="180" t="s">
        <v>28</v>
      </c>
      <c r="M13" s="178"/>
      <c r="N13" s="180"/>
      <c r="O13" s="92"/>
      <c r="P13" s="44"/>
      <c r="Q13" s="44"/>
      <c r="R13" s="45"/>
      <c r="S13" s="78"/>
    </row>
    <row r="14" ht="15.75" customHeight="1" spans="1:19" x14ac:dyDescent="0.25">
      <c r="A14" s="151"/>
      <c r="B14" s="42">
        <f t="shared" si="0"/>
        <v>7</v>
      </c>
      <c r="C14" s="172"/>
      <c r="D14" s="173"/>
      <c r="E14" s="173" t="s">
        <v>107</v>
      </c>
      <c r="F14" s="42"/>
      <c r="G14" s="175"/>
      <c r="H14" s="176"/>
      <c r="I14" s="262"/>
      <c r="J14" s="178"/>
      <c r="K14" s="179"/>
      <c r="L14" s="180" t="s">
        <v>28</v>
      </c>
      <c r="M14" s="178"/>
      <c r="N14" s="180"/>
      <c r="O14" s="92"/>
      <c r="P14" s="44"/>
      <c r="Q14" s="44"/>
      <c r="R14" s="45"/>
      <c r="S14" s="78"/>
    </row>
    <row r="15" ht="15.75" customHeight="1" spans="1:19" x14ac:dyDescent="0.25">
      <c r="A15" s="151"/>
      <c r="B15" s="42">
        <f t="shared" si="0"/>
        <v>8</v>
      </c>
      <c r="C15" s="172"/>
      <c r="D15" s="173"/>
      <c r="E15" s="173" t="s">
        <v>107</v>
      </c>
      <c r="F15" s="44"/>
      <c r="G15" s="175"/>
      <c r="H15" s="176"/>
      <c r="I15" s="262"/>
      <c r="J15" s="178"/>
      <c r="K15" s="179"/>
      <c r="L15" s="180" t="s">
        <v>28</v>
      </c>
      <c r="M15" s="178"/>
      <c r="N15" s="180"/>
      <c r="O15" s="92"/>
      <c r="P15" s="44"/>
      <c r="Q15" s="44"/>
      <c r="R15" s="45"/>
      <c r="S15" s="78"/>
    </row>
    <row r="16" ht="15.75" customHeight="1" spans="1:19" x14ac:dyDescent="0.25">
      <c r="A16" s="151"/>
      <c r="B16" s="42">
        <f t="shared" si="0"/>
        <v>9</v>
      </c>
      <c r="C16" s="172"/>
      <c r="D16" s="173"/>
      <c r="E16" s="173" t="s">
        <v>107</v>
      </c>
      <c r="F16" s="42"/>
      <c r="G16" s="175"/>
      <c r="H16" s="176"/>
      <c r="I16" s="262"/>
      <c r="J16" s="178"/>
      <c r="K16" s="179"/>
      <c r="L16" s="180" t="s">
        <v>28</v>
      </c>
      <c r="M16" s="178"/>
      <c r="N16" s="180"/>
      <c r="O16" s="92"/>
      <c r="P16" s="44"/>
      <c r="Q16" s="44"/>
      <c r="R16" s="45"/>
      <c r="S16" s="78"/>
    </row>
    <row r="17" ht="15.75" customHeight="1" spans="1:19" x14ac:dyDescent="0.25">
      <c r="A17" s="151"/>
      <c r="B17" s="42">
        <f t="shared" si="0"/>
        <v>10</v>
      </c>
      <c r="C17" s="172"/>
      <c r="D17" s="173"/>
      <c r="E17" s="173" t="s">
        <v>107</v>
      </c>
      <c r="F17" s="42"/>
      <c r="G17" s="175"/>
      <c r="H17" s="176"/>
      <c r="I17" s="262"/>
      <c r="J17" s="178"/>
      <c r="K17" s="179"/>
      <c r="L17" s="180" t="s">
        <v>28</v>
      </c>
      <c r="M17" s="178"/>
      <c r="N17" s="180"/>
      <c r="O17" s="92"/>
      <c r="P17" s="44"/>
      <c r="Q17" s="44"/>
      <c r="R17" s="45"/>
      <c r="S17" s="78"/>
    </row>
    <row r="18" ht="15.75" customHeight="1" spans="1:19" x14ac:dyDescent="0.25">
      <c r="A18" s="151"/>
      <c r="B18" s="42">
        <f t="shared" si="0"/>
        <v>11</v>
      </c>
      <c r="C18" s="172"/>
      <c r="D18" s="173"/>
      <c r="E18" s="173" t="s">
        <v>107</v>
      </c>
      <c r="F18" s="44"/>
      <c r="G18" s="175"/>
      <c r="H18" s="176"/>
      <c r="I18" s="262"/>
      <c r="J18" s="178"/>
      <c r="K18" s="179"/>
      <c r="L18" s="180" t="s">
        <v>28</v>
      </c>
      <c r="M18" s="178"/>
      <c r="N18" s="180"/>
      <c r="O18" s="92"/>
      <c r="P18" s="44"/>
      <c r="Q18" s="44"/>
      <c r="R18" s="45"/>
      <c r="S18" s="78"/>
    </row>
    <row r="19" ht="15.75" customHeight="1" spans="1:19" x14ac:dyDescent="0.25">
      <c r="A19" s="151"/>
      <c r="B19" s="42">
        <f t="shared" si="0"/>
        <v>12</v>
      </c>
      <c r="C19" s="172"/>
      <c r="D19" s="173"/>
      <c r="E19" s="173" t="s">
        <v>107</v>
      </c>
      <c r="F19" s="42"/>
      <c r="G19" s="175"/>
      <c r="H19" s="176"/>
      <c r="I19" s="262"/>
      <c r="J19" s="178"/>
      <c r="K19" s="179"/>
      <c r="L19" s="180" t="s">
        <v>28</v>
      </c>
      <c r="M19" s="178"/>
      <c r="N19" s="180"/>
      <c r="O19" s="92"/>
      <c r="P19" s="44"/>
      <c r="Q19" s="44"/>
      <c r="R19" s="45"/>
      <c r="S19" s="78"/>
    </row>
    <row r="20" ht="15.75" customHeight="1" spans="1:19" x14ac:dyDescent="0.25">
      <c r="A20" s="151"/>
      <c r="B20" s="42">
        <f t="shared" si="0"/>
        <v>13</v>
      </c>
      <c r="C20" s="172"/>
      <c r="D20" s="173"/>
      <c r="E20" s="173" t="s">
        <v>107</v>
      </c>
      <c r="F20" s="44"/>
      <c r="G20" s="175"/>
      <c r="H20" s="176"/>
      <c r="I20" s="262"/>
      <c r="J20" s="178"/>
      <c r="K20" s="179"/>
      <c r="L20" s="180" t="s">
        <v>28</v>
      </c>
      <c r="M20" s="178"/>
      <c r="N20" s="180"/>
      <c r="O20" s="92"/>
      <c r="P20" s="44"/>
      <c r="Q20" s="44"/>
      <c r="R20" s="45"/>
      <c r="S20" s="78"/>
    </row>
    <row r="21" ht="15.75" customHeight="1" spans="1:19" x14ac:dyDescent="0.25">
      <c r="A21" s="151"/>
      <c r="B21" s="42">
        <f t="shared" si="0"/>
        <v>14</v>
      </c>
      <c r="C21" s="172"/>
      <c r="D21" s="173"/>
      <c r="E21" s="173" t="s">
        <v>107</v>
      </c>
      <c r="F21" s="42"/>
      <c r="G21" s="175"/>
      <c r="H21" s="176"/>
      <c r="I21" s="262"/>
      <c r="J21" s="178"/>
      <c r="K21" s="179"/>
      <c r="L21" s="180" t="s">
        <v>28</v>
      </c>
      <c r="M21" s="178"/>
      <c r="N21" s="180"/>
      <c r="O21" s="92"/>
      <c r="P21" s="44"/>
      <c r="Q21" s="44"/>
      <c r="R21" s="45"/>
      <c r="S21" s="78"/>
    </row>
    <row r="22" ht="15.75" customHeight="1" spans="1:19" x14ac:dyDescent="0.25">
      <c r="A22" s="151"/>
      <c r="B22" s="42">
        <f t="shared" si="0"/>
        <v>15</v>
      </c>
      <c r="C22" s="172"/>
      <c r="D22" s="173"/>
      <c r="E22" s="173" t="s">
        <v>107</v>
      </c>
      <c r="F22" s="42"/>
      <c r="G22" s="175"/>
      <c r="H22" s="176"/>
      <c r="I22" s="262"/>
      <c r="J22" s="178"/>
      <c r="K22" s="179"/>
      <c r="L22" s="180" t="s">
        <v>28</v>
      </c>
      <c r="M22" s="178"/>
      <c r="N22" s="180"/>
      <c r="O22" s="92"/>
      <c r="P22" s="44"/>
      <c r="Q22" s="44"/>
      <c r="R22" s="45"/>
      <c r="S22" s="78"/>
    </row>
    <row r="23" ht="15.75" customHeight="1" spans="1:19" x14ac:dyDescent="0.25">
      <c r="A23" s="151"/>
      <c r="B23" s="42">
        <f t="shared" si="0"/>
        <v>16</v>
      </c>
      <c r="C23" s="172"/>
      <c r="D23" s="173"/>
      <c r="E23" s="173" t="s">
        <v>107</v>
      </c>
      <c r="F23" s="42"/>
      <c r="G23" s="175"/>
      <c r="H23" s="176"/>
      <c r="I23" s="262"/>
      <c r="J23" s="178"/>
      <c r="K23" s="179"/>
      <c r="L23" s="180" t="s">
        <v>28</v>
      </c>
      <c r="M23" s="178"/>
      <c r="N23" s="180"/>
      <c r="O23" s="92"/>
      <c r="P23" s="44"/>
      <c r="Q23" s="44"/>
      <c r="R23" s="45"/>
      <c r="S23" s="78"/>
    </row>
    <row r="24" ht="15.75" customHeight="1" spans="1:19" x14ac:dyDescent="0.25">
      <c r="A24" s="151"/>
      <c r="B24" s="42">
        <f t="shared" si="0"/>
        <v>17</v>
      </c>
      <c r="C24" s="172"/>
      <c r="D24" s="173"/>
      <c r="E24" s="173" t="s">
        <v>107</v>
      </c>
      <c r="F24" s="42"/>
      <c r="G24" s="175"/>
      <c r="H24" s="176"/>
      <c r="I24" s="262"/>
      <c r="J24" s="178"/>
      <c r="K24" s="179"/>
      <c r="L24" s="180" t="s">
        <v>28</v>
      </c>
      <c r="M24" s="178"/>
      <c r="N24" s="180"/>
      <c r="O24" s="92"/>
      <c r="P24" s="44"/>
      <c r="Q24" s="44"/>
      <c r="R24" s="45"/>
      <c r="S24" s="78"/>
    </row>
    <row r="25" ht="15.75" customHeight="1" spans="1:19" x14ac:dyDescent="0.25">
      <c r="A25" s="151"/>
      <c r="B25" s="42">
        <f t="shared" si="0"/>
        <v>18</v>
      </c>
      <c r="C25" s="172"/>
      <c r="D25" s="173"/>
      <c r="E25" s="173" t="s">
        <v>107</v>
      </c>
      <c r="F25" s="42"/>
      <c r="G25" s="175"/>
      <c r="H25" s="176"/>
      <c r="I25" s="262"/>
      <c r="J25" s="178"/>
      <c r="K25" s="179"/>
      <c r="L25" s="180" t="s">
        <v>28</v>
      </c>
      <c r="M25" s="178"/>
      <c r="N25" s="180"/>
      <c r="O25" s="92"/>
      <c r="P25" s="44"/>
      <c r="Q25" s="44"/>
      <c r="R25" s="45"/>
      <c r="S25" s="78"/>
    </row>
    <row r="26" ht="15.75" customHeight="1" spans="1:19" x14ac:dyDescent="0.25">
      <c r="A26" s="151"/>
      <c r="B26" s="42">
        <f t="shared" si="0"/>
        <v>19</v>
      </c>
      <c r="C26" s="172"/>
      <c r="D26" s="173"/>
      <c r="E26" s="173" t="s">
        <v>107</v>
      </c>
      <c r="F26" s="42"/>
      <c r="G26" s="175"/>
      <c r="H26" s="176"/>
      <c r="I26" s="262"/>
      <c r="J26" s="178"/>
      <c r="K26" s="179"/>
      <c r="L26" s="180" t="s">
        <v>28</v>
      </c>
      <c r="M26" s="178"/>
      <c r="N26" s="180"/>
      <c r="O26" s="92"/>
      <c r="P26" s="44"/>
      <c r="Q26" s="44"/>
      <c r="R26" s="45"/>
      <c r="S26" s="78"/>
    </row>
    <row r="27" ht="15.75" customHeight="1" spans="1:19" x14ac:dyDescent="0.25">
      <c r="A27" s="151"/>
      <c r="B27" s="42">
        <f t="shared" si="0"/>
        <v>20</v>
      </c>
      <c r="C27" s="172"/>
      <c r="D27" s="173"/>
      <c r="E27" s="173" t="s">
        <v>107</v>
      </c>
      <c r="F27" s="42"/>
      <c r="G27" s="175"/>
      <c r="H27" s="176"/>
      <c r="I27" s="262"/>
      <c r="J27" s="178"/>
      <c r="K27" s="179"/>
      <c r="L27" s="180" t="s">
        <v>28</v>
      </c>
      <c r="M27" s="178"/>
      <c r="N27" s="180"/>
      <c r="O27" s="92"/>
      <c r="P27" s="44"/>
      <c r="Q27" s="44"/>
      <c r="R27" s="45"/>
      <c r="S27" s="78"/>
    </row>
    <row r="28" ht="15.75" customHeight="1" spans="1:19" x14ac:dyDescent="0.25">
      <c r="A28" s="151"/>
      <c r="B28" s="42">
        <f t="shared" si="0"/>
        <v>21</v>
      </c>
      <c r="C28" s="172"/>
      <c r="D28" s="173"/>
      <c r="E28" s="173" t="s">
        <v>107</v>
      </c>
      <c r="F28" s="42"/>
      <c r="G28" s="175"/>
      <c r="H28" s="176"/>
      <c r="I28" s="262"/>
      <c r="J28" s="178"/>
      <c r="K28" s="179"/>
      <c r="L28" s="180" t="s">
        <v>28</v>
      </c>
      <c r="M28" s="178"/>
      <c r="N28" s="180"/>
      <c r="O28" s="92"/>
      <c r="P28" s="44"/>
      <c r="Q28" s="44"/>
      <c r="R28" s="45"/>
      <c r="S28" s="78"/>
    </row>
    <row r="29" ht="15.75" customHeight="1" spans="1:19" x14ac:dyDescent="0.25">
      <c r="A29" s="151"/>
      <c r="B29" s="42">
        <f t="shared" si="0"/>
        <v>22</v>
      </c>
      <c r="C29" s="172"/>
      <c r="D29" s="173"/>
      <c r="E29" s="173" t="s">
        <v>107</v>
      </c>
      <c r="F29" s="42"/>
      <c r="G29" s="175"/>
      <c r="H29" s="176"/>
      <c r="I29" s="262"/>
      <c r="J29" s="178"/>
      <c r="K29" s="179"/>
      <c r="L29" s="180" t="s">
        <v>28</v>
      </c>
      <c r="M29" s="178"/>
      <c r="N29" s="180"/>
      <c r="O29" s="92"/>
      <c r="P29" s="44"/>
      <c r="Q29" s="44"/>
      <c r="R29" s="45"/>
      <c r="S29" s="78"/>
    </row>
    <row r="30" ht="15.75" customHeight="1" spans="1:19" x14ac:dyDescent="0.25">
      <c r="A30" s="151"/>
      <c r="B30" s="42">
        <f t="shared" si="0"/>
        <v>23</v>
      </c>
      <c r="C30" s="172"/>
      <c r="D30" s="173"/>
      <c r="E30" s="173" t="s">
        <v>107</v>
      </c>
      <c r="F30" s="44"/>
      <c r="G30" s="175"/>
      <c r="H30" s="176"/>
      <c r="I30" s="262"/>
      <c r="J30" s="178"/>
      <c r="K30" s="179"/>
      <c r="L30" s="180" t="s">
        <v>28</v>
      </c>
      <c r="M30" s="178"/>
      <c r="N30" s="180"/>
      <c r="O30" s="92"/>
      <c r="P30" s="44"/>
      <c r="Q30" s="44"/>
      <c r="R30" s="45"/>
      <c r="S30" s="78"/>
    </row>
    <row r="31" ht="15.75" customHeight="1" spans="1:19" x14ac:dyDescent="0.25">
      <c r="A31" s="151"/>
      <c r="B31" s="42">
        <f t="shared" si="0"/>
        <v>24</v>
      </c>
      <c r="C31" s="172"/>
      <c r="D31" s="173"/>
      <c r="E31" s="173" t="s">
        <v>107</v>
      </c>
      <c r="F31" s="42"/>
      <c r="G31" s="175"/>
      <c r="H31" s="176"/>
      <c r="I31" s="262"/>
      <c r="J31" s="178"/>
      <c r="K31" s="179"/>
      <c r="L31" s="180" t="s">
        <v>28</v>
      </c>
      <c r="M31" s="178"/>
      <c r="N31" s="180"/>
      <c r="O31" s="92"/>
      <c r="P31" s="44"/>
      <c r="Q31" s="44"/>
      <c r="R31" s="45"/>
      <c r="S31" s="78"/>
    </row>
    <row r="32" ht="15.75" customHeight="1" spans="1:19" x14ac:dyDescent="0.25">
      <c r="A32" s="151"/>
      <c r="B32" s="42">
        <f t="shared" si="0"/>
        <v>25</v>
      </c>
      <c r="C32" s="172"/>
      <c r="D32" s="173"/>
      <c r="E32" s="173" t="s">
        <v>107</v>
      </c>
      <c r="F32" s="42"/>
      <c r="G32" s="175"/>
      <c r="H32" s="176"/>
      <c r="I32" s="262"/>
      <c r="J32" s="178"/>
      <c r="K32" s="179"/>
      <c r="L32" s="180" t="s">
        <v>28</v>
      </c>
      <c r="M32" s="178"/>
      <c r="N32" s="180"/>
      <c r="O32" s="92"/>
      <c r="P32" s="44"/>
      <c r="Q32" s="44"/>
      <c r="R32" s="45"/>
      <c r="S32" s="78"/>
    </row>
    <row r="33" ht="15.75" customHeight="1" spans="1:19" x14ac:dyDescent="0.25">
      <c r="A33" s="151"/>
      <c r="B33" s="42">
        <f t="shared" si="0"/>
        <v>26</v>
      </c>
      <c r="C33" s="172"/>
      <c r="D33" s="173"/>
      <c r="E33" s="173" t="s">
        <v>107</v>
      </c>
      <c r="F33" s="42"/>
      <c r="G33" s="175"/>
      <c r="H33" s="176"/>
      <c r="I33" s="262"/>
      <c r="J33" s="178"/>
      <c r="K33" s="179"/>
      <c r="L33" s="180" t="s">
        <v>28</v>
      </c>
      <c r="M33" s="178"/>
      <c r="N33" s="180"/>
      <c r="O33" s="92"/>
      <c r="P33" s="44"/>
      <c r="Q33" s="44"/>
      <c r="R33" s="45"/>
      <c r="S33" s="78"/>
    </row>
    <row r="34" ht="15.75" customHeight="1" spans="1:19" x14ac:dyDescent="0.25">
      <c r="A34" s="151"/>
      <c r="B34" s="42">
        <f t="shared" si="0"/>
        <v>27</v>
      </c>
      <c r="C34" s="172"/>
      <c r="D34" s="173"/>
      <c r="E34" s="173" t="s">
        <v>107</v>
      </c>
      <c r="F34" s="44"/>
      <c r="G34" s="175"/>
      <c r="H34" s="176"/>
      <c r="I34" s="262"/>
      <c r="J34" s="178"/>
      <c r="K34" s="179"/>
      <c r="L34" s="180" t="s">
        <v>28</v>
      </c>
      <c r="M34" s="178"/>
      <c r="N34" s="180"/>
      <c r="O34" s="92"/>
      <c r="P34" s="44"/>
      <c r="Q34" s="44"/>
      <c r="R34" s="45"/>
      <c r="S34" s="78"/>
    </row>
    <row r="35" ht="15.75" customHeight="1" spans="1:19" x14ac:dyDescent="0.25">
      <c r="A35" s="151"/>
      <c r="B35" s="42">
        <f t="shared" si="0"/>
        <v>28</v>
      </c>
      <c r="C35" s="172"/>
      <c r="D35" s="173"/>
      <c r="E35" s="173" t="s">
        <v>107</v>
      </c>
      <c r="F35" s="42"/>
      <c r="G35" s="175"/>
      <c r="H35" s="176"/>
      <c r="I35" s="262"/>
      <c r="J35" s="178"/>
      <c r="K35" s="179"/>
      <c r="L35" s="180" t="s">
        <v>28</v>
      </c>
      <c r="M35" s="178"/>
      <c r="N35" s="180"/>
      <c r="O35" s="92"/>
      <c r="P35" s="44"/>
      <c r="Q35" s="44"/>
      <c r="R35" s="45"/>
      <c r="S35" s="78"/>
    </row>
    <row r="36" ht="15.75" customHeight="1" spans="1:19" x14ac:dyDescent="0.25">
      <c r="A36" s="151"/>
      <c r="B36" s="42">
        <f t="shared" si="0"/>
        <v>29</v>
      </c>
      <c r="C36" s="172"/>
      <c r="D36" s="173"/>
      <c r="E36" s="173" t="s">
        <v>107</v>
      </c>
      <c r="F36" s="42"/>
      <c r="G36" s="175"/>
      <c r="H36" s="176"/>
      <c r="I36" s="262"/>
      <c r="J36" s="178"/>
      <c r="K36" s="179"/>
      <c r="L36" s="180" t="s">
        <v>28</v>
      </c>
      <c r="M36" s="178"/>
      <c r="N36" s="180"/>
      <c r="O36" s="92"/>
      <c r="P36" s="44"/>
      <c r="Q36" s="44"/>
      <c r="R36" s="45"/>
      <c r="S36" s="78"/>
    </row>
    <row r="37" ht="15.75" customHeight="1" spans="1:19" x14ac:dyDescent="0.25">
      <c r="A37" s="151"/>
      <c r="B37" s="42">
        <f t="shared" si="0"/>
        <v>30</v>
      </c>
      <c r="C37" s="172"/>
      <c r="D37" s="173"/>
      <c r="E37" s="173" t="s">
        <v>107</v>
      </c>
      <c r="F37" s="42"/>
      <c r="G37" s="175"/>
      <c r="H37" s="176"/>
      <c r="I37" s="262"/>
      <c r="J37" s="178"/>
      <c r="K37" s="179"/>
      <c r="L37" s="180" t="s">
        <v>28</v>
      </c>
      <c r="M37" s="178"/>
      <c r="N37" s="180"/>
      <c r="O37" s="92"/>
      <c r="P37" s="44"/>
      <c r="Q37" s="44"/>
      <c r="R37" s="45"/>
      <c r="S37" s="78"/>
    </row>
    <row r="38" ht="15.75" customHeight="1" spans="1:19" x14ac:dyDescent="0.25">
      <c r="A38" s="151"/>
      <c r="B38" s="263" t="s">
        <v>108</v>
      </c>
      <c r="C38" s="264"/>
      <c r="D38" s="265"/>
      <c r="E38" s="266"/>
      <c r="F38" s="267"/>
      <c r="G38" s="268"/>
      <c r="H38" s="269"/>
      <c r="I38" s="270"/>
      <c r="J38" s="269"/>
      <c r="K38" s="270"/>
      <c r="L38" s="268"/>
      <c r="M38" s="266"/>
      <c r="N38" s="268"/>
      <c r="O38" s="267"/>
      <c r="P38" s="267"/>
      <c r="Q38" s="267"/>
      <c r="R38" s="271"/>
      <c r="S38" s="78"/>
    </row>
    <row r="39" ht="15.75" customHeight="1" spans="1:19" x14ac:dyDescent="0.25">
      <c r="A39" s="151"/>
      <c r="B39" s="42">
        <v>1</v>
      </c>
      <c r="C39" s="172"/>
      <c r="D39" s="173"/>
      <c r="E39" s="173" t="s">
        <v>107</v>
      </c>
      <c r="F39" s="42" t="s">
        <v>45</v>
      </c>
      <c r="G39" s="175"/>
      <c r="H39" s="176">
        <v>0</v>
      </c>
      <c r="I39" s="262"/>
      <c r="J39" s="178"/>
      <c r="K39" s="179"/>
      <c r="L39" s="180" t="s">
        <v>28</v>
      </c>
      <c r="M39" s="92"/>
      <c r="N39" s="180"/>
      <c r="O39" s="92"/>
      <c r="P39" s="44"/>
      <c r="Q39" s="44"/>
      <c r="R39" s="45"/>
      <c r="S39" s="78"/>
    </row>
    <row r="40" ht="15.75" customHeight="1" spans="1:19" x14ac:dyDescent="0.25">
      <c r="A40" s="151"/>
      <c r="B40" s="42">
        <f t="shared" ref="B40:B43" si="1">B39+1</f>
        <v>2</v>
      </c>
      <c r="C40" s="172"/>
      <c r="D40" s="173"/>
      <c r="E40" s="173" t="s">
        <v>107</v>
      </c>
      <c r="F40" s="42" t="s">
        <v>45</v>
      </c>
      <c r="G40" s="175"/>
      <c r="H40" s="176">
        <v>0</v>
      </c>
      <c r="I40" s="262"/>
      <c r="J40" s="178"/>
      <c r="K40" s="179"/>
      <c r="L40" s="180" t="s">
        <v>28</v>
      </c>
      <c r="M40" s="92"/>
      <c r="N40" s="180"/>
      <c r="O40" s="92"/>
      <c r="P40" s="44"/>
      <c r="Q40" s="44"/>
      <c r="R40" s="45"/>
      <c r="S40" s="78"/>
    </row>
    <row r="41" ht="15.75" customHeight="1" spans="1:19" x14ac:dyDescent="0.25">
      <c r="A41" s="151"/>
      <c r="B41" s="42">
        <f t="shared" si="1"/>
        <v>3</v>
      </c>
      <c r="C41" s="172"/>
      <c r="D41" s="173"/>
      <c r="E41" s="173" t="s">
        <v>107</v>
      </c>
      <c r="F41" s="42" t="s">
        <v>45</v>
      </c>
      <c r="G41" s="175"/>
      <c r="H41" s="176">
        <v>0</v>
      </c>
      <c r="I41" s="262"/>
      <c r="J41" s="178"/>
      <c r="K41" s="179"/>
      <c r="L41" s="180" t="s">
        <v>28</v>
      </c>
      <c r="M41" s="92"/>
      <c r="N41" s="180"/>
      <c r="O41" s="92"/>
      <c r="P41" s="44"/>
      <c r="Q41" s="44"/>
      <c r="R41" s="45"/>
      <c r="S41" s="78"/>
    </row>
    <row r="42" ht="15.75" customHeight="1" spans="1:19" x14ac:dyDescent="0.25">
      <c r="A42" s="151"/>
      <c r="B42" s="42">
        <f t="shared" si="1"/>
        <v>4</v>
      </c>
      <c r="C42" s="172"/>
      <c r="D42" s="173"/>
      <c r="E42" s="173" t="s">
        <v>107</v>
      </c>
      <c r="F42" s="42" t="s">
        <v>45</v>
      </c>
      <c r="G42" s="175"/>
      <c r="H42" s="176">
        <v>0</v>
      </c>
      <c r="I42" s="262"/>
      <c r="J42" s="178"/>
      <c r="K42" s="179"/>
      <c r="L42" s="180" t="s">
        <v>28</v>
      </c>
      <c r="M42" s="92"/>
      <c r="N42" s="180"/>
      <c r="O42" s="92"/>
      <c r="P42" s="44"/>
      <c r="Q42" s="44"/>
      <c r="R42" s="45"/>
      <c r="S42" s="78"/>
    </row>
    <row r="43" ht="15.75" customHeight="1" spans="1:19" x14ac:dyDescent="0.25">
      <c r="A43" s="151"/>
      <c r="B43" s="42">
        <f t="shared" si="1"/>
        <v>5</v>
      </c>
      <c r="C43" s="172"/>
      <c r="D43" s="173"/>
      <c r="E43" s="173" t="s">
        <v>107</v>
      </c>
      <c r="F43" s="42" t="s">
        <v>45</v>
      </c>
      <c r="G43" s="175"/>
      <c r="H43" s="176">
        <v>0</v>
      </c>
      <c r="I43" s="262"/>
      <c r="J43" s="178"/>
      <c r="K43" s="179"/>
      <c r="L43" s="180" t="s">
        <v>28</v>
      </c>
      <c r="M43" s="92"/>
      <c r="N43" s="180"/>
      <c r="O43" s="92"/>
      <c r="P43" s="44"/>
      <c r="Q43" s="44"/>
      <c r="R43" s="45"/>
      <c r="S43" s="78"/>
    </row>
    <row r="44" ht="15.75" customHeight="1" spans="1:19" x14ac:dyDescent="0.25">
      <c r="A44" s="62"/>
      <c r="B44" s="67"/>
      <c r="C44" s="68"/>
      <c r="D44" s="67"/>
      <c r="E44" s="67"/>
      <c r="F44" s="67"/>
      <c r="G44" s="68"/>
      <c r="H44" s="272"/>
      <c r="I44" s="185"/>
      <c r="J44" s="186"/>
      <c r="K44" s="185"/>
      <c r="L44" s="67"/>
      <c r="M44" s="67"/>
      <c r="N44" s="68"/>
      <c r="O44" s="67"/>
      <c r="P44" s="67"/>
      <c r="Q44" s="67"/>
      <c r="R44" s="67"/>
      <c r="S44" s="62"/>
    </row>
    <row r="45" ht="15.75" customHeight="1" spans="1:19" x14ac:dyDescent="0.25">
      <c r="A45" s="62"/>
      <c r="B45" s="64"/>
      <c r="C45" s="75"/>
      <c r="D45" s="64"/>
      <c r="E45" s="64"/>
      <c r="F45" s="64"/>
      <c r="G45" s="75"/>
      <c r="H45" s="64"/>
      <c r="I45" s="75"/>
      <c r="J45" s="64"/>
      <c r="K45" s="75"/>
      <c r="L45" s="64"/>
      <c r="M45" s="64"/>
      <c r="N45" s="75"/>
      <c r="O45" s="64"/>
      <c r="P45" s="64"/>
      <c r="Q45" s="64"/>
      <c r="R45" s="64"/>
      <c r="S45" s="62"/>
    </row>
  </sheetData>
  <mergeCells count="7">
    <mergeCell ref="B2:R2"/>
    <mergeCell ref="B4:D4"/>
    <mergeCell ref="G4:I4"/>
    <mergeCell ref="L4:N4"/>
    <mergeCell ref="B6:H6"/>
    <mergeCell ref="I6:K6"/>
    <mergeCell ref="L6:R6"/>
  </mergeCells>
  <conditionalFormatting sqref="J8:K37 J39:K43">
    <cfRule type="containsBlanks" dxfId="77" priority="19" operator="containsBlanks">
      <formula>LEN(TRIM(J8))=0</formula>
    </cfRule>
  </conditionalFormatting>
  <conditionalFormatting sqref="J8:R37 J39:R43">
    <cfRule type="containsBlanks" dxfId="78" priority="18" operator="containsBlanks">
      <formula>LEN(TRIM(J8))=0</formula>
    </cfRule>
  </conditionalFormatting>
  <conditionalFormatting sqref="L8:L37 R8:R37 L39:L43 R39:R43">
    <cfRule type="cellIs" dxfId="79" priority="13" operator="equal">
      <formula>"Aprobado"</formula>
    </cfRule>
    <cfRule type="cellIs" dxfId="80" priority="14" operator="equal">
      <formula>"Aprobado parcial."</formula>
    </cfRule>
    <cfRule type="cellIs" dxfId="81" priority="15" operator="equal">
      <formula>"Rechazado"</formula>
    </cfRule>
    <cfRule type="cellIs" dxfId="82" priority="16" operator="equal">
      <formula>"Pendiente"</formula>
    </cfRule>
  </conditionalFormatting>
  <conditionalFormatting sqref="R8:R37 R39:R43">
    <cfRule type="cellIs" dxfId="83" priority="1" operator="equal">
      <formula>"Fallecido/a"</formula>
    </cfRule>
    <cfRule type="cellIs" dxfId="84" priority="2" operator="equal">
      <formula>"Destinación"</formula>
    </cfRule>
    <cfRule type="cellIs" dxfId="85" priority="3" operator="equal">
      <formula>"Sin efecto"</formula>
    </cfRule>
    <cfRule type="cellIs" dxfId="86" priority="4" operator="equal">
      <formula>"Vigente"</formula>
    </cfRule>
    <cfRule type="cellIs" dxfId="87" priority="5" operator="equal">
      <formula>"Renuncia"</formula>
    </cfRule>
    <cfRule type="cellIs" dxfId="88" priority="6" operator="equal">
      <formula>"Renuncia parcial"</formula>
    </cfRule>
    <cfRule type="cellIs" dxfId="89" priority="7" operator="equal">
      <formula>"Reubicación"</formula>
    </cfRule>
    <cfRule type="cellIs" dxfId="90" priority="8" operator="equal">
      <formula>"Cese"</formula>
    </cfRule>
    <cfRule type="cellIs" dxfId="91" priority="9" operator="equal">
      <formula>"Defunción"</formula>
    </cfRule>
    <cfRule type="cellIs" dxfId="92" priority="10" operator="equal">
      <formula>"Cambio fondo"</formula>
    </cfRule>
    <cfRule type="cellIs" dxfId="93" priority="11" operator="equal">
      <formula>"No asume"</formula>
    </cfRule>
  </conditionalFormatting>
  <dataValidations count="12">
    <dataValidation type="list" allowBlank="1" sqref="G10:G37">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G39:G43">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G8:G37">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Ocupacional,Kinesiólogo/a,Psicopedagogo/a,Biólogo/a,Periodista,Enfermero/a,Abogado/a,Coord. Informática,Ingeniero/a,Ingeniero/a Informático/a,Tec. Informática,Técnico/a,Tec. D"&amp;"iferencial,Tec. Párvulos,Tec. Enfermería,Asistente Aula (técnico),Paramédico/a,Tec. Prev. Riesgos,Monitor/a (Asist. educ.),Monitor/a,Administrativo/a,Asistente Aula (admin),Secretaria,Apoyo convivencia,Admin. CRA,Admin. Internado,Enc. Laboratorio,Bibliote"&amp;"ca,Contador/a,Auxiliar,Vigilante,Conductor/a,Auxiliar internado,Coeducador/a sordo/a,Psicomotricidad,Habilidades para la vida,Audiovisual,Apoyo SLEP - Orquesta,Apoyo SLEP - Monitor/a,No aplica,Jefatura curso,Coord. Téc. Profesional,Nutricionista,Trabajo c"&amp;"olab. PIE,Socioemocional,ERE Docente,ERE Asist. Educación,Monitor/a Oficios,Proy. Flexible"</formula1>
    </dataValidation>
    <dataValidation type="list" allowBlank="1" sqref="I10:I37">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I39:I43">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I8:I37">
      <formula1>"Continuidad,Aumento horas,Destinación,Reducción horas,Sup. Parcial,Sup. Total,No renovar,Desvinculación,Pendiente,Cambio fondo,Cambio escalafón,Cambio estto.,Fallecido/a,Renunciado/a,Retirado/a,Pérdida confianza,Fuero maternal,Invalidez,Fuero gremial,Grup"&amp;"o 2020,Grupo 2021,Grupo 2022,Grupo 2023,Grupo 2024,Grupo 2025,Nva. Contratación,No aplica / No vigente"</formula1>
    </dataValidation>
    <dataValidation type="list" allowBlank="1" sqref="L10:L37">
      <formula1>"Aprobado,Aprobado parcial.,Rechazado,Pendiente"</formula1>
    </dataValidation>
    <dataValidation type="list" allowBlank="1" sqref="L39:L43">
      <formula1>"Aprobado,Aprobado parcial.,Rechazado,Pendiente"</formula1>
    </dataValidation>
    <dataValidation type="list" allowBlank="1" sqref="L8:L37">
      <formula1>"Aprobado,Aprobado parcial.,Rechazado,Pendiente"</formula1>
    </dataValidation>
    <dataValidation type="list" allowBlank="1" sqref="R10:R37">
      <formula1>"Vigente,Renuncia,Pendiente,Cese,Defunción,Renuncia parcial,Cambio fondo,No asume,Sin efecto,Fallecido/a,Destinación"</formula1>
    </dataValidation>
    <dataValidation type="list" allowBlank="1" sqref="R39:R43">
      <formula1>"Vigente,Renuncia,Pendiente,Cese,Defunción,Renuncia parcial,Cambio fondo,No asume,Sin efecto,Fallecido/a,Destinación"</formula1>
    </dataValidation>
    <dataValidation type="list" allowBlank="1" sqref="R8:R37">
      <formula1>"Vigente,Renuncia,Pendiente,Cese,Defunción,Renuncia parcial,Cambio fondo,No asume,Sin efecto,Fallecido/a,Destinación"</formula1>
    </dataValidation>
  </dataValidations>
  <printOptions gridLines="1" horizontalCentered="1"/>
  <pageMargins left="0.7" right="0.7" top="0.75" bottom="0.75" header="0" footer="0"/>
  <pageSetup paperSize="9" orientation="landscape" horizontalDpi="4294967295" verticalDpi="4294967295" pageOrder="overThenDown" cellComments="atEnd"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0000"/>
    <outlinePr summaryBelow="0" summaryRight="0"/>
  </sheetPr>
  <dimension ref="A1:Z15"/>
  <sheetViews>
    <sheetView workbookViewId="0" zoomScale="100" zoomScaleNormal="100"/>
  </sheetViews>
  <sheetFormatPr defaultRowHeight="15" outlineLevelRow="0" outlineLevelCol="0" x14ac:dyDescent="0.3" defaultColWidth="14.3984375"/>
  <cols>
    <col min="1" max="1" width="3.296875" customWidth="1"/>
    <col min="2" max="2" width="5.09765625" customWidth="1"/>
    <col min="3" max="3" width="19.69921875" customWidth="1"/>
    <col min="4" max="4" width="11.8984375" customWidth="1"/>
    <col min="5" max="5" width="20.09765625" customWidth="1"/>
    <col min="6" max="6" width="14.8984375" customWidth="1"/>
    <col min="7" max="7" width="9.296875" customWidth="1"/>
    <col min="8" max="8" width="5.3984375" customWidth="1"/>
    <col min="9" max="9" width="11.09765625" customWidth="1"/>
    <col min="10" max="10" width="6.8984375" hidden="1" customWidth="1"/>
    <col min="11" max="11" width="14" customWidth="1"/>
    <col min="12" max="12" width="8.69921875" customWidth="1"/>
    <col min="13" max="14" width="9.296875" customWidth="1"/>
    <col min="15" max="15" width="13.8984375" customWidth="1"/>
    <col min="16" max="16" width="17" customWidth="1"/>
    <col min="17" max="17" width="16.8984375" customWidth="1"/>
    <col min="18" max="18" width="11.09765625" customWidth="1"/>
    <col min="19" max="19" width="8.59765625" customWidth="1"/>
    <col min="20" max="20" width="18" customWidth="1"/>
    <col min="21" max="21" width="7" customWidth="1"/>
    <col min="22" max="23" width="9.296875" customWidth="1"/>
    <col min="24" max="24" width="4.296875" customWidth="1"/>
    <col min="25" max="25" width="12.69921875" customWidth="1"/>
    <col min="26" max="26" width="4.09765625" customWidth="1"/>
  </cols>
  <sheetData>
    <row r="1" ht="9.75" customHeight="1" spans="1:26" x14ac:dyDescent="0.25">
      <c r="A1" s="1"/>
      <c r="B1" s="97"/>
      <c r="C1" s="97"/>
      <c r="D1" s="97"/>
      <c r="E1" s="97"/>
      <c r="F1" s="97"/>
      <c r="G1" s="97"/>
      <c r="H1" s="97"/>
      <c r="I1" s="97"/>
      <c r="J1" s="97"/>
      <c r="K1" s="98"/>
      <c r="L1" s="97"/>
      <c r="M1" s="97"/>
      <c r="N1" s="97"/>
      <c r="O1" s="97"/>
      <c r="P1" s="97"/>
      <c r="Q1" s="97"/>
      <c r="R1" s="99"/>
      <c r="S1" s="4"/>
      <c r="T1" s="2"/>
      <c r="U1" s="2"/>
      <c r="V1" s="2"/>
      <c r="W1" s="2"/>
      <c r="X1" s="2"/>
      <c r="Y1" s="3"/>
      <c r="Z1" s="1"/>
    </row>
    <row r="2" ht="16.5" customHeight="1" spans="1:26" x14ac:dyDescent="0.25">
      <c r="A2" s="7"/>
      <c r="B2" s="273" t="s">
        <v>109</v>
      </c>
      <c r="C2" s="9"/>
      <c r="D2" s="9"/>
      <c r="E2" s="9"/>
      <c r="F2" s="9"/>
      <c r="G2" s="9"/>
      <c r="H2" s="9"/>
      <c r="I2" s="9"/>
      <c r="J2" s="9"/>
      <c r="K2" s="9"/>
      <c r="L2" s="9"/>
      <c r="M2" s="9"/>
      <c r="N2" s="9"/>
      <c r="O2" s="9"/>
      <c r="P2" s="9"/>
      <c r="Q2" s="9"/>
      <c r="R2" s="9"/>
      <c r="S2" s="9"/>
      <c r="T2" s="9"/>
      <c r="U2" s="9"/>
      <c r="V2" s="9"/>
      <c r="W2" s="9"/>
      <c r="X2" s="9"/>
      <c r="Y2" s="10"/>
      <c r="Z2" s="11"/>
    </row>
    <row r="3" ht="12" customHeight="1" spans="1:26" x14ac:dyDescent="0.25">
      <c r="A3" s="1"/>
      <c r="B3" s="2"/>
      <c r="C3" s="2"/>
      <c r="D3" s="4"/>
      <c r="E3" s="57"/>
      <c r="F3" s="2"/>
      <c r="G3" s="4"/>
      <c r="H3" s="4"/>
      <c r="I3" s="4"/>
      <c r="J3" s="57"/>
      <c r="K3" s="68"/>
      <c r="L3" s="2"/>
      <c r="M3" s="2"/>
      <c r="N3" s="2"/>
      <c r="O3" s="2"/>
      <c r="P3" s="6"/>
      <c r="Q3" s="6"/>
      <c r="R3" s="97"/>
      <c r="S3" s="67"/>
      <c r="T3" s="2"/>
      <c r="U3" s="2"/>
      <c r="V3" s="57"/>
      <c r="W3" s="57"/>
      <c r="X3" s="57"/>
      <c r="Y3" s="58"/>
      <c r="Z3" s="1"/>
    </row>
    <row r="4" ht="13" customHeight="1" spans="1:26" x14ac:dyDescent="0.25">
      <c r="A4" s="274"/>
      <c r="B4" s="275" t="s">
        <v>110</v>
      </c>
      <c r="C4" s="28"/>
      <c r="D4" s="276"/>
      <c r="E4" s="24"/>
      <c r="F4" s="75"/>
      <c r="G4" s="75"/>
      <c r="H4" s="75"/>
      <c r="I4" s="75"/>
      <c r="J4" s="75"/>
      <c r="K4" s="20"/>
      <c r="L4" s="275" t="s">
        <v>111</v>
      </c>
      <c r="M4" s="27"/>
      <c r="N4" s="277" t="s">
        <v>57</v>
      </c>
      <c r="O4" s="107"/>
      <c r="P4" s="278">
        <f>SUM(L9:L14)</f>
        <v>0</v>
      </c>
      <c r="Q4" s="279" t="s">
        <v>58</v>
      </c>
      <c r="R4" s="280" t="e">
        <f>P5/D4</f>
        <v>#DIV/0!</v>
      </c>
      <c r="S4" s="281"/>
      <c r="T4" s="275" t="s">
        <v>59</v>
      </c>
      <c r="U4" s="282">
        <f>SUM(S9:S14)</f>
        <v>0</v>
      </c>
      <c r="V4" s="24"/>
      <c r="W4" s="75"/>
      <c r="X4" s="75"/>
      <c r="Y4" s="75"/>
      <c r="Z4" s="283"/>
    </row>
    <row r="5" ht="13" customHeight="1" spans="1:26" x14ac:dyDescent="0.25">
      <c r="A5" s="274"/>
      <c r="B5" s="79"/>
      <c r="C5" s="80"/>
      <c r="D5" s="222"/>
      <c r="E5" s="284"/>
      <c r="F5" s="75"/>
      <c r="G5" s="75"/>
      <c r="H5" s="75"/>
      <c r="I5" s="75"/>
      <c r="J5" s="75"/>
      <c r="K5" s="20"/>
      <c r="L5" s="79"/>
      <c r="M5" s="285"/>
      <c r="N5" s="286" t="s">
        <v>112</v>
      </c>
      <c r="O5" s="122"/>
      <c r="P5" s="287">
        <f>SUM(N9:N14)</f>
        <v>0</v>
      </c>
      <c r="Q5" s="288"/>
      <c r="R5" s="131"/>
      <c r="S5" s="281"/>
      <c r="T5" s="79"/>
      <c r="U5" s="131"/>
      <c r="V5" s="24"/>
      <c r="W5" s="75"/>
      <c r="X5" s="75"/>
      <c r="Y5" s="75"/>
      <c r="Z5" s="283"/>
    </row>
    <row r="6" ht="12" customHeight="1" spans="1:26" x14ac:dyDescent="0.25">
      <c r="A6" s="1"/>
      <c r="B6" s="2"/>
      <c r="C6" s="2"/>
      <c r="D6" s="2"/>
      <c r="E6" s="53"/>
      <c r="F6" s="2"/>
      <c r="G6" s="2"/>
      <c r="H6" s="2"/>
      <c r="I6" s="4"/>
      <c r="J6" s="53"/>
      <c r="K6" s="25"/>
      <c r="L6" s="2"/>
      <c r="M6" s="2"/>
      <c r="N6" s="2"/>
      <c r="O6" s="2"/>
      <c r="P6" s="2"/>
      <c r="Q6" s="6"/>
      <c r="R6" s="2"/>
      <c r="S6" s="55"/>
      <c r="T6" s="2"/>
      <c r="U6" s="2"/>
      <c r="V6" s="53"/>
      <c r="W6" s="53"/>
      <c r="X6" s="53"/>
      <c r="Y6" s="54"/>
      <c r="Z6" s="1"/>
    </row>
    <row r="7" ht="13" customHeight="1" spans="1:26" x14ac:dyDescent="0.25">
      <c r="A7" s="7"/>
      <c r="B7" s="289" t="s">
        <v>63</v>
      </c>
      <c r="C7" s="27"/>
      <c r="D7" s="27"/>
      <c r="E7" s="289" t="s">
        <v>113</v>
      </c>
      <c r="F7" s="27"/>
      <c r="G7" s="27"/>
      <c r="H7" s="27"/>
      <c r="I7" s="27"/>
      <c r="J7" s="27"/>
      <c r="K7" s="27"/>
      <c r="L7" s="27"/>
      <c r="M7" s="27"/>
      <c r="N7" s="27"/>
      <c r="O7" s="27"/>
      <c r="P7" s="27"/>
      <c r="Q7" s="133"/>
      <c r="R7" s="134" t="s">
        <v>9</v>
      </c>
      <c r="S7" s="9"/>
      <c r="T7" s="9"/>
      <c r="U7" s="9"/>
      <c r="V7" s="9"/>
      <c r="W7" s="9"/>
      <c r="X7" s="9"/>
      <c r="Y7" s="10"/>
      <c r="Z7" s="1"/>
    </row>
    <row r="8" ht="20" customHeight="1" spans="1:26" x14ac:dyDescent="0.25">
      <c r="A8" s="7"/>
      <c r="B8" s="31" t="s">
        <v>10</v>
      </c>
      <c r="C8" s="31" t="s">
        <v>11</v>
      </c>
      <c r="D8" s="31" t="s">
        <v>12</v>
      </c>
      <c r="E8" s="31" t="s">
        <v>64</v>
      </c>
      <c r="F8" s="31" t="s">
        <v>114</v>
      </c>
      <c r="G8" s="31" t="s">
        <v>15</v>
      </c>
      <c r="H8" s="31" t="s">
        <v>115</v>
      </c>
      <c r="I8" s="31" t="s">
        <v>66</v>
      </c>
      <c r="J8" s="135" t="s">
        <v>67</v>
      </c>
      <c r="K8" s="31" t="s">
        <v>17</v>
      </c>
      <c r="L8" s="31" t="s">
        <v>18</v>
      </c>
      <c r="M8" s="31" t="s">
        <v>66</v>
      </c>
      <c r="N8" s="31" t="s">
        <v>116</v>
      </c>
      <c r="O8" s="31" t="s">
        <v>117</v>
      </c>
      <c r="P8" s="31" t="s">
        <v>69</v>
      </c>
      <c r="Q8" s="31" t="s">
        <v>70</v>
      </c>
      <c r="R8" s="33" t="s">
        <v>20</v>
      </c>
      <c r="S8" s="34" t="s">
        <v>21</v>
      </c>
      <c r="T8" s="34" t="s">
        <v>22</v>
      </c>
      <c r="U8" s="33" t="s">
        <v>23</v>
      </c>
      <c r="V8" s="33" t="s">
        <v>24</v>
      </c>
      <c r="W8" s="33" t="s">
        <v>25</v>
      </c>
      <c r="X8" s="170" t="s">
        <v>118</v>
      </c>
      <c r="Y8" s="34" t="s">
        <v>26</v>
      </c>
      <c r="Z8" s="11"/>
    </row>
    <row r="9" ht="20" customHeight="1" spans="1:26" x14ac:dyDescent="0.25">
      <c r="A9" s="7"/>
      <c r="B9" s="36">
        <v>1</v>
      </c>
      <c r="C9" s="47"/>
      <c r="D9" s="39"/>
      <c r="E9" s="290"/>
      <c r="F9" s="47" t="s">
        <v>119</v>
      </c>
      <c r="G9" s="36" t="s">
        <v>45</v>
      </c>
      <c r="H9" s="36" t="s">
        <v>45</v>
      </c>
      <c r="I9" s="291" t="s">
        <v>45</v>
      </c>
      <c r="J9" s="292" t="e">
        <f t="shared" ref="J9:J14" si="0">(I9/H9)</f>
        <v>#VALUE!</v>
      </c>
      <c r="K9" s="293"/>
      <c r="L9" s="36"/>
      <c r="M9" s="138">
        <f t="shared" ref="M9:M14" si="1">IFERROR((L9*J9),0)</f>
        <v>0</v>
      </c>
      <c r="N9" s="138">
        <f t="shared" ref="N9:N14" si="2">M9*X9</f>
        <v>0</v>
      </c>
      <c r="O9" s="139"/>
      <c r="P9" s="139"/>
      <c r="Q9" s="139"/>
      <c r="R9" s="43" t="s">
        <v>28</v>
      </c>
      <c r="S9" s="42"/>
      <c r="T9" s="43"/>
      <c r="U9" s="42"/>
      <c r="V9" s="44"/>
      <c r="W9" s="44"/>
      <c r="X9" s="294">
        <f t="shared" ref="X9:X14" si="3">DATEDIF(V9,W9,"YM")+1</f>
        <v>1</v>
      </c>
      <c r="Y9" s="45"/>
      <c r="Z9" s="11"/>
    </row>
    <row r="10" ht="20" customHeight="1" spans="1:26" x14ac:dyDescent="0.25">
      <c r="A10" s="7"/>
      <c r="B10" s="36">
        <f t="shared" ref="B10:B14" si="4">B9+1</f>
        <v>2</v>
      </c>
      <c r="C10" s="47"/>
      <c r="D10" s="39"/>
      <c r="E10" s="290"/>
      <c r="F10" s="47" t="s">
        <v>119</v>
      </c>
      <c r="G10" s="46"/>
      <c r="H10" s="36"/>
      <c r="I10" s="291"/>
      <c r="J10" s="292" t="e">
        <f t="shared" si="0"/>
        <v>#DIV/0!</v>
      </c>
      <c r="K10" s="293"/>
      <c r="L10" s="36"/>
      <c r="M10" s="138">
        <f t="shared" si="1"/>
        <v>0</v>
      </c>
      <c r="N10" s="138">
        <f t="shared" si="2"/>
        <v>0</v>
      </c>
      <c r="O10" s="139"/>
      <c r="P10" s="139"/>
      <c r="Q10" s="139"/>
      <c r="R10" s="43" t="s">
        <v>28</v>
      </c>
      <c r="S10" s="42"/>
      <c r="T10" s="43"/>
      <c r="U10" s="42"/>
      <c r="V10" s="44"/>
      <c r="W10" s="44"/>
      <c r="X10" s="294">
        <f t="shared" si="3"/>
        <v>1</v>
      </c>
      <c r="Y10" s="45"/>
      <c r="Z10" s="11"/>
    </row>
    <row r="11" ht="20" customHeight="1" spans="1:26" x14ac:dyDescent="0.25">
      <c r="A11" s="7"/>
      <c r="B11" s="36">
        <f t="shared" si="4"/>
        <v>3</v>
      </c>
      <c r="C11" s="47"/>
      <c r="D11" s="39"/>
      <c r="E11" s="290"/>
      <c r="F11" s="47" t="s">
        <v>119</v>
      </c>
      <c r="G11" s="46"/>
      <c r="H11" s="36"/>
      <c r="I11" s="291"/>
      <c r="J11" s="292" t="e">
        <f t="shared" si="0"/>
        <v>#DIV/0!</v>
      </c>
      <c r="K11" s="293"/>
      <c r="L11" s="36"/>
      <c r="M11" s="138">
        <f t="shared" si="1"/>
        <v>0</v>
      </c>
      <c r="N11" s="138">
        <f t="shared" si="2"/>
        <v>0</v>
      </c>
      <c r="O11" s="139"/>
      <c r="P11" s="139"/>
      <c r="Q11" s="139"/>
      <c r="R11" s="43" t="s">
        <v>28</v>
      </c>
      <c r="S11" s="42"/>
      <c r="T11" s="43"/>
      <c r="U11" s="42"/>
      <c r="V11" s="44"/>
      <c r="W11" s="44"/>
      <c r="X11" s="294">
        <f t="shared" si="3"/>
        <v>1</v>
      </c>
      <c r="Y11" s="45"/>
      <c r="Z11" s="11"/>
    </row>
    <row r="12" ht="20" customHeight="1" spans="1:26" x14ac:dyDescent="0.25">
      <c r="A12" s="7"/>
      <c r="B12" s="36">
        <f t="shared" si="4"/>
        <v>4</v>
      </c>
      <c r="C12" s="47"/>
      <c r="D12" s="39"/>
      <c r="E12" s="290"/>
      <c r="F12" s="47" t="s">
        <v>119</v>
      </c>
      <c r="G12" s="46"/>
      <c r="H12" s="36"/>
      <c r="I12" s="291"/>
      <c r="J12" s="292" t="e">
        <f t="shared" si="0"/>
        <v>#DIV/0!</v>
      </c>
      <c r="K12" s="293"/>
      <c r="L12" s="36"/>
      <c r="M12" s="138">
        <f t="shared" si="1"/>
        <v>0</v>
      </c>
      <c r="N12" s="138">
        <f t="shared" si="2"/>
        <v>0</v>
      </c>
      <c r="O12" s="139"/>
      <c r="P12" s="139"/>
      <c r="Q12" s="139"/>
      <c r="R12" s="43" t="s">
        <v>28</v>
      </c>
      <c r="S12" s="42"/>
      <c r="T12" s="43"/>
      <c r="U12" s="42"/>
      <c r="V12" s="44"/>
      <c r="W12" s="44"/>
      <c r="X12" s="294">
        <f t="shared" si="3"/>
        <v>1</v>
      </c>
      <c r="Y12" s="45"/>
      <c r="Z12" s="11"/>
    </row>
    <row r="13" ht="20" customHeight="1" spans="1:26" x14ac:dyDescent="0.25">
      <c r="A13" s="7"/>
      <c r="B13" s="36">
        <f t="shared" si="4"/>
        <v>5</v>
      </c>
      <c r="C13" s="47"/>
      <c r="D13" s="39"/>
      <c r="E13" s="290"/>
      <c r="F13" s="47" t="s">
        <v>119</v>
      </c>
      <c r="G13" s="46"/>
      <c r="H13" s="36"/>
      <c r="I13" s="291"/>
      <c r="J13" s="292" t="e">
        <f t="shared" si="0"/>
        <v>#DIV/0!</v>
      </c>
      <c r="K13" s="293"/>
      <c r="L13" s="36"/>
      <c r="M13" s="138">
        <f t="shared" si="1"/>
        <v>0</v>
      </c>
      <c r="N13" s="138">
        <f t="shared" si="2"/>
        <v>0</v>
      </c>
      <c r="O13" s="139"/>
      <c r="P13" s="139"/>
      <c r="Q13" s="139"/>
      <c r="R13" s="43" t="s">
        <v>28</v>
      </c>
      <c r="S13" s="42"/>
      <c r="T13" s="43"/>
      <c r="U13" s="42"/>
      <c r="V13" s="44"/>
      <c r="W13" s="44"/>
      <c r="X13" s="294">
        <f t="shared" si="3"/>
        <v>1</v>
      </c>
      <c r="Y13" s="45"/>
      <c r="Z13" s="11"/>
    </row>
    <row r="14" ht="20" customHeight="1" spans="1:26" x14ac:dyDescent="0.25">
      <c r="A14" s="7"/>
      <c r="B14" s="36">
        <f t="shared" si="4"/>
        <v>6</v>
      </c>
      <c r="C14" s="47"/>
      <c r="D14" s="39"/>
      <c r="E14" s="290"/>
      <c r="F14" s="47" t="s">
        <v>119</v>
      </c>
      <c r="G14" s="46"/>
      <c r="H14" s="36"/>
      <c r="I14" s="291"/>
      <c r="J14" s="292" t="e">
        <f t="shared" si="0"/>
        <v>#DIV/0!</v>
      </c>
      <c r="K14" s="293"/>
      <c r="L14" s="36"/>
      <c r="M14" s="138">
        <f t="shared" si="1"/>
        <v>0</v>
      </c>
      <c r="N14" s="138">
        <f t="shared" si="2"/>
        <v>0</v>
      </c>
      <c r="O14" s="139"/>
      <c r="P14" s="139"/>
      <c r="Q14" s="139"/>
      <c r="R14" s="43" t="s">
        <v>28</v>
      </c>
      <c r="S14" s="42"/>
      <c r="T14" s="43"/>
      <c r="U14" s="42"/>
      <c r="V14" s="44"/>
      <c r="W14" s="44"/>
      <c r="X14" s="294">
        <f t="shared" si="3"/>
        <v>1</v>
      </c>
      <c r="Y14" s="45"/>
      <c r="Z14" s="11"/>
    </row>
    <row r="15" ht="13" customHeight="1" spans="1:26" x14ac:dyDescent="0.25">
      <c r="A15" s="1"/>
      <c r="B15" s="57"/>
      <c r="C15" s="57"/>
      <c r="D15" s="67"/>
      <c r="E15" s="57"/>
      <c r="F15" s="57"/>
      <c r="G15" s="67"/>
      <c r="H15" s="67"/>
      <c r="I15" s="67"/>
      <c r="J15" s="57"/>
      <c r="K15" s="68"/>
      <c r="L15" s="57"/>
      <c r="M15" s="57"/>
      <c r="N15" s="57"/>
      <c r="O15" s="57"/>
      <c r="P15" s="69"/>
      <c r="Q15" s="69"/>
      <c r="R15" s="295"/>
      <c r="S15" s="67"/>
      <c r="T15" s="57"/>
      <c r="U15" s="57"/>
      <c r="V15" s="57"/>
      <c r="W15" s="57"/>
      <c r="X15" s="57"/>
      <c r="Y15" s="58"/>
      <c r="Z15" s="1"/>
    </row>
  </sheetData>
  <mergeCells count="13">
    <mergeCell ref="B2:Y2"/>
    <mergeCell ref="B4:C5"/>
    <mergeCell ref="L4:M5"/>
    <mergeCell ref="N4:O4"/>
    <mergeCell ref="D4:D5"/>
    <mergeCell ref="N5:O5"/>
    <mergeCell ref="Q4:Q5"/>
    <mergeCell ref="R4:R5"/>
    <mergeCell ref="T4:T5"/>
    <mergeCell ref="U4:U5"/>
    <mergeCell ref="B7:D7"/>
    <mergeCell ref="E7:Q7"/>
    <mergeCell ref="R7:Y7"/>
  </mergeCells>
  <conditionalFormatting sqref="R4:R5">
    <cfRule type="cellIs" dxfId="94" priority="10" operator="between">
      <formula>"1%"</formula>
      <formula>"85%"</formula>
    </cfRule>
    <cfRule type="cellIs" dxfId="95" priority="11" operator="lessThanOrEqual">
      <formula>"0%"</formula>
    </cfRule>
    <cfRule type="cellIs" dxfId="96" priority="22" operator="between">
      <formula>"86%"</formula>
      <formula>"95%"</formula>
    </cfRule>
    <cfRule type="cellIs" dxfId="97" priority="23" operator="between">
      <formula>"96%"</formula>
      <formula>"150%"</formula>
    </cfRule>
  </conditionalFormatting>
  <conditionalFormatting sqref="R9:R14 Y9:Y14">
    <cfRule type="cellIs" dxfId="98" priority="4" operator="equal">
      <formula>"Aprobado"</formula>
    </cfRule>
    <cfRule type="cellIs" dxfId="99" priority="5" operator="equal">
      <formula>"Aprobado parcial."</formula>
    </cfRule>
    <cfRule type="cellIs" dxfId="100" priority="6" operator="equal">
      <formula>"Rechazado"</formula>
    </cfRule>
    <cfRule type="cellIs" dxfId="101" priority="7" operator="equal">
      <formula>"Pendiente"</formula>
    </cfRule>
  </conditionalFormatting>
  <conditionalFormatting sqref="R9:Y14">
    <cfRule type="containsBlanks" dxfId="102" priority="9" operator="containsBlanks">
      <formula>LEN(TRIM(R9))=0</formula>
    </cfRule>
  </conditionalFormatting>
  <conditionalFormatting sqref="Y9:Y14">
    <cfRule type="cellIs" dxfId="103" priority="1" operator="equal">
      <formula>"Fallecido/a"</formula>
    </cfRule>
    <cfRule type="cellIs" dxfId="104" priority="2" operator="equal">
      <formula>"Destinación"</formula>
    </cfRule>
    <cfRule type="cellIs" dxfId="105" priority="3" operator="equal">
      <formula>"Sin efecto"</formula>
    </cfRule>
    <cfRule type="cellIs" dxfId="106" priority="12" operator="equal">
      <formula>"Vigente"</formula>
    </cfRule>
    <cfRule type="cellIs" dxfId="107" priority="13" operator="equal">
      <formula>"Renuncia"</formula>
    </cfRule>
    <cfRule type="cellIs" dxfId="108" priority="14" operator="equal">
      <formula>"Renuncia parcial"</formula>
    </cfRule>
    <cfRule type="cellIs" dxfId="109" priority="15" operator="equal">
      <formula>"Pendiente"</formula>
    </cfRule>
    <cfRule type="cellIs" dxfId="110" priority="16" operator="equal">
      <formula>"Reubicación"</formula>
    </cfRule>
    <cfRule type="cellIs" dxfId="111" priority="17" operator="equal">
      <formula>"Cese"</formula>
    </cfRule>
    <cfRule type="cellIs" dxfId="112" priority="18" operator="equal">
      <formula>"Defunción"</formula>
    </cfRule>
    <cfRule type="cellIs" dxfId="113" priority="19" operator="equal">
      <formula>"Cambio fondo"</formula>
    </cfRule>
    <cfRule type="cellIs" dxfId="114" priority="20" operator="equal">
      <formula>"No asume"</formula>
    </cfRule>
    <cfRule type="cellIs" dxfId="115" priority="21" operator="equal">
      <formula>"Sin efecto"</formula>
    </cfRule>
  </conditionalFormatting>
  <dataValidations count="8">
    <dataValidation type="list" allowBlank="1" sqref="E10:E14">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Ocupacional,Kinesiólogo/a,Psicopedagogo/a,Biólogo/a,Periodista,Enfermero/a,Abogado/a,Ingeniero/a,Ingeniero/a Informático/a,Tec. Informática,Técnico/a,Tec. Diferencial,Tec. Pár"&amp;"vulos,Tec. Enfermería,Asistente Aula (técnico),Paramédico/a,Tec. Prev. Riesgos,Monitor/a (Asist. educ.),Monitor/a,Administrativo/a,Asistente Aula (admin),Secretaria,Apoyo convivencia,Admin. CRA,Admin. Internado,Enc. Laboratorio,Biblioteca,Contador/a,Auxil"&amp;"iar,Vigilante,Conductor/a,Auxiliar internado,Coeducador/a sordo/a,Psicomotricidad,Habilidades para la vida,Audiovisual,Apoyo SLEP - Orquesta,Apoyo SLEP - Monitor/a,No aplica"</formula1>
    </dataValidation>
    <dataValidation type="list" allowBlank="1" sqref="E9:E14">
      <formula1>"Admin. Central,Ed. Párvulos,Director/a,Inspector/a Gral.,Jefe/a UTP,Orientador/a,Curriculista,Evaluador/a,Enc. Convivencia Educativa,Apoyo UTP,Coord. Cra,Coord. PIE,Coord. Extraescolar,Coord. Ciencias,Coord. ETE,Docente Lenguaje,Docente Matemática,Docente"&amp;" Inglés,Docente Francés,Docente Historia y Geo.,Docente Cs. Naturales,Docente Biología,Docente Química,Docente Física,Docente Art. Visuales,Docente Ed. Artística,Docente Música,Docente Ed. Física,Docente Filosofía,Docente Religión,Docente Religión Cat.,Do"&amp;"cente Religión Evan.,Docente Tecnología,Asig. Nivel Téc. Profesional,Docente aula,Docente Gral. Básico/a,Docente Ens. Media,Docente Técnico Profesional,Docente Diferencial - Coord. PIE,Docente Diferencial,Educador/a tradicional,Monitor/a (docente),Otro,In"&amp;"térprete lengua señas,Psicólogo/a,Trabajador/a Social,Fonoaudiólogo/a,Terapeuta Ocupacional,Kinesiólogo/a,Psicopedagogo/a,Biólogo/a,Periodista,Enfermero/a,Abogado/a,Ingeniero/a,Ingeniero/a Informático/a,Tec. Informática,Técnico/a,Tec. Diferencial,Tec. Pár"&amp;"vulos,Tec. Enfermería,Asistente Aula (técnico),Paramédico/a,Tec. Prev. Riesgos,Monitor/a (Asist. educ.),Monitor/a,Administrativo/a,Asistente Aula (admin),Secretaria,Apoyo convivencia,Admin. CRA,Admin. Internado,Enc. Laboratorio,Biblioteca,Contador/a,Auxil"&amp;"iar,Vigilante,Conductor/a,Auxiliar internado,Coeducador/a sordo/a,Psicomotricidad,Habilidades para la vida,Audiovisual,Apoyo SLEP - Orquesta,Apoyo SLEP - Monitor/a,No aplica"</formula1>
    </dataValidation>
    <dataValidation type="list" allowBlank="1" sqref="K10:K14">
      <formula1>"Continuidad,Aumento horas,Destinación,Reducción horas,Sup. Parcial,Sup. Total,No renovar,Desvinculación,Pendiente,Cambio fondo,Cambio escalafón,Cambio estto.,Fallecido/a,Renunciado/a,Retirado/a,Pérdida confianza,Fuero maternal,Invalidez,Fuero gremial,Grup"&amp;"o 2021,Grupo 2022,Grupo 2023,Grupo 2024,Nva. Contratación,No aplica / no vigente"</formula1>
    </dataValidation>
    <dataValidation type="list" allowBlank="1" sqref="K9:K14">
      <formula1>"Continuidad,Aumento horas,Destinación,Reducción horas,Sup. Parcial,Sup. Total,No renovar,Desvinculación,Pendiente,Cambio fondo,Cambio escalafón,Cambio estto.,Fallecido/a,Renunciado/a,Retirado/a,Pérdida confianza,Fuero maternal,Invalidez,Fuero gremial,Grup"&amp;"o 2021,Grupo 2022,Grupo 2023,Grupo 2024,Nva. Contratación,No aplica / no vigente"</formula1>
    </dataValidation>
    <dataValidation type="list" allowBlank="1" sqref="R10:R14">
      <formula1>"Aprobado,Aprobado parcial.,Rechazado,Pendiente"</formula1>
    </dataValidation>
    <dataValidation type="list" allowBlank="1" sqref="R9:R14">
      <formula1>"Aprobado,Aprobado parcial.,Rechazado,Pendiente"</formula1>
    </dataValidation>
    <dataValidation type="list" allowBlank="1" sqref="Y10:Y14">
      <formula1>"Vigente,Renuncia,Pendiente,Cese,Defunción,Renuncia parcial,Cambio fondo,No asume,Sin efecto,Fallecido/a,Destinación"</formula1>
    </dataValidation>
    <dataValidation type="list" allowBlank="1" sqref="Y9:Y14">
      <formula1>"Vigente,Renuncia,Pendiente,Cese,Defunción,Renuncia parcial,Cambio fondo,No asume,Sin efecto,Fallecido/a,Destinación"</formula1>
    </dataValidation>
  </dataValidations>
  <printOptions gridLines="1" horizontalCentered="1"/>
  <pageMargins left="0.7" right="0.7" top="0.75" bottom="0.75" header="0" footer="0"/>
  <pageSetup orientation="landscape" horizontalDpi="4294967295" verticalDpi="4294967295" pageOrder="overThenDown" cellComments="atEnd"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PIE</vt:lpstr>
      <vt:lpstr>SEP</vt:lpstr>
      <vt:lpstr>Subv. Normal - Docentes Tit</vt:lpstr>
      <vt:lpstr>Subv. Normal - Docentes Ctta.</vt:lpstr>
      <vt:lpstr>Subv. Normal AA.EE</vt:lpstr>
      <vt:lpstr>Pro-Retención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Alexis Hernández Barrios</dc:creator>
  <cp:lastModifiedBy>Sergio Alexis Hernández Barrios</cp:lastModifiedBy>
  <dcterms:created xsi:type="dcterms:W3CDTF">2026-10-16T14:28:15Z</dcterms:created>
  <dcterms:modified xsi:type="dcterms:W3CDTF">2026-10-16T14:28:17Z</dcterms:modified>
</cp:coreProperties>
</file>
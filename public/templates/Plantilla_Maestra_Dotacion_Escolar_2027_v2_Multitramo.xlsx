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sumen y Control" state="visible" r:id="rId4"/>
    <sheet sheetId="2" name="2. Cursos y Planes" state="visible" r:id="rId5"/>
    <sheet sheetId="3" name="3. Directivos y Tecnicos" state="visible" r:id="rId6"/>
    <sheet sheetId="4" name="4. Docentes de Aula" state="visible" r:id="rId7"/>
    <sheet sheetId="5" name="4.1 Detalle Asignaturas Cursos" state="visible" r:id="rId8"/>
    <sheet sheetId="6" name="5. Equipo PIE" state="visible" r:id="rId9"/>
    <sheet sheetId="7" name="6. Asistentes Educacion" state="visible" r:id="rId10"/>
    <sheet sheetId="8" name="7. Parametros y Tablas" state="visible" r:id="rId11"/>
  </sheets>
  <calcPr calcId="171027"/>
</workbook>
</file>

<file path=xl/sharedStrings.xml><?xml version="1.0" encoding="utf-8"?>
<sst xmlns="http://schemas.openxmlformats.org/spreadsheetml/2006/main" count="855" uniqueCount="469">
  <si>
    <t>SERVICIO LOCAL DE EDUCACIÓN PÚBLICA VALLE DIGUILLÍN</t>
  </si>
  <si>
    <t>MATRIZ DE DOTACIÓN 2027 – AUTO-AUDITORÍA MULTITRAMO (LEY 20.903: 60/40 Y 65/35, BI-NIVEL, ART. 69 Y MULTI-ASIGNATURA)</t>
  </si>
  <si>
    <t>FICHA DEL ESTABLECIMIENTO Y CARACTERIZACIÓN NORMATIVA</t>
  </si>
  <si>
    <t>RBD:</t>
  </si>
  <si>
    <t>Comuna:</t>
  </si>
  <si>
    <t>San Ignacio</t>
  </si>
  <si>
    <t>Establecimiento:</t>
  </si>
  <si>
    <t>LICEO BICENTENARIO DE EXCELENCIA PUEBLO SECO</t>
  </si>
  <si>
    <t>Régimen:</t>
  </si>
  <si>
    <t>JECD (Parvularia, Básica y Media TP)</t>
  </si>
  <si>
    <t>Director(a):</t>
  </si>
  <si>
    <t>SILVA VEGA, MARIO ANTONIO</t>
  </si>
  <si>
    <t>Tramos Aplicables:</t>
  </si>
  <si>
    <t>60/40 (Parvularia y 1° Ciclo) | 65/35 (2° Ciclo y Media)</t>
  </si>
  <si>
    <t>Asesor(a) UATP:</t>
  </si>
  <si>
    <t>Dionicio Flores</t>
  </si>
  <si>
    <t>Complejidad Territorial:</t>
  </si>
  <si>
    <t>Docentes Bi-nivel, Compartidos y Art. 69 Activos</t>
  </si>
  <si>
    <t>1. BALANCE GENERAL DE DOTACIÓN POR TRAMO NORMATIVO (FÓRMULAS VINCULADAS EN VIVO)</t>
  </si>
  <si>
    <t>Estamento / Categoría</t>
  </si>
  <si>
    <t>Personas</t>
  </si>
  <si>
    <t>Horas Contrato</t>
  </si>
  <si>
    <t>Hrs Aula 60/40</t>
  </si>
  <si>
    <t>Hrs Aula 65/35</t>
  </si>
  <si>
    <t>Hrs No Aula / Fuera</t>
  </si>
  <si>
    <t>Balance</t>
  </si>
  <si>
    <t>Veredicto Normativo</t>
  </si>
  <si>
    <t>Docentes de Aula Regulares (Bi-nivel y Multi-ciclo)</t>
  </si>
  <si>
    <t>✓ Ponderación Multitramo Correcta</t>
  </si>
  <si>
    <t>Directivos y Técnicos Pedagógicos (DFL 1)</t>
  </si>
  <si>
    <t>✓ 100% Fuera de Aula DFL 1</t>
  </si>
  <si>
    <t>Educadoras Diferenciales (Docentes PIE Dto. 170)</t>
  </si>
  <si>
    <t>✓ Co-docencia y Recursos Cuadrados</t>
  </si>
  <si>
    <t>Profesionales de Apoyo PIE / SEP (No Docentes)</t>
  </si>
  <si>
    <t>✓ Jornada Efectiva Multiprofesional</t>
  </si>
  <si>
    <t>Asistentes de la Educación (Ley 21.109 - 17 Cargos)</t>
  </si>
  <si>
    <t>✓ 100% Estatuto AAEE DEP</t>
  </si>
  <si>
    <t>TOTALES CONSOLIDADOS DEL ESTABLECIMIENTO</t>
  </si>
  <si>
    <t>✓ DOTACIÓN GENERAL CUADRADA</t>
  </si>
  <si>
    <t>2. CONTROL DE CASOS ESPECIALES Y RESGUARDO NORMATIVO</t>
  </si>
  <si>
    <t>Variable / Condición Especial</t>
  </si>
  <si>
    <t>Frecuencia / Casos</t>
  </si>
  <si>
    <t>Estado</t>
  </si>
  <si>
    <t>Mecanismo de Control en la Plantilla</t>
  </si>
  <si>
    <t>Docentes Bi-nivel / Multi-ciclo (1° Ciclo 60/40 y 2° Ciclo/Media 65/35):</t>
  </si>
  <si>
    <t>4 docentes</t>
  </si>
  <si>
    <t>APLICADO</t>
  </si>
  <si>
    <t>Cálculo ponderado según horas reales impartidas en cada nivel.</t>
  </si>
  <si>
    <t>Docentes con Artículo 69 Ley 19.070 (Tope voluntario 24 hrs aula):</t>
  </si>
  <si>
    <t>1 docente</t>
  </si>
  <si>
    <t>RESGUARDADO</t>
  </si>
  <si>
    <t>Profesor Quintana Bustos: 44 hrs contrato, 24 hrs aula, 20 hrs apoyo curricular.</t>
  </si>
  <si>
    <t>Docentes Compartidos con otro Establecimiento del SLEP:</t>
  </si>
  <si>
    <t>CONCILIADO</t>
  </si>
  <si>
    <t>Profesor Sáez Vilches: 30 hrs en este RBD y 14 hrs en Liceo Manuel Jesús Ortiz.</t>
  </si>
  <si>
    <t>Docente Mixto (Funciones de Gestión UTP + Aula Regular):</t>
  </si>
  <si>
    <t>DESGLOSADO</t>
  </si>
  <si>
    <t>Profesora Salazar Rojas: 22 hrs Jefatura UTP + 22 hrs Lenguaje en Enseñanza Media.</t>
  </si>
  <si>
    <t>Multi-asignatura (Docentes que imparten 2 o más sectores de aprendizaje):</t>
  </si>
  <si>
    <t>6 docentes</t>
  </si>
  <si>
    <t>TRAZABLE</t>
  </si>
  <si>
    <t>Desglose detallado por curso en pestaña 4.1 y consolidado en matriz.</t>
  </si>
  <si>
    <t>ESTRUCTURA DE CURSOS Y PLANES DE ESTUDIO OFICIALES MINEDUC – 2027</t>
  </si>
  <si>
    <t>RBD: 3887 - LICEO BICENTENARIO PUEBLO SECO | DEMANDA HORARIA POR TRAMO NORMATIVO</t>
  </si>
  <si>
    <t>N°</t>
  </si>
  <si>
    <t>Nivel Curricular</t>
  </si>
  <si>
    <t>Letra</t>
  </si>
  <si>
    <t>Tramo Ley 20.903</t>
  </si>
  <si>
    <t>Régimen JECD</t>
  </si>
  <si>
    <t>Matrícula Proy.</t>
  </si>
  <si>
    <t>Cupo SAE</t>
  </si>
  <si>
    <t>Alumnos PIE</t>
  </si>
  <si>
    <t>Hrs Plan MINEDUC</t>
  </si>
  <si>
    <t>Hrs Talleres JECD</t>
  </si>
  <si>
    <t>Demanda Total</t>
  </si>
  <si>
    <t>Hrs Asignadas Matriz</t>
  </si>
  <si>
    <t>Estado Cobertura</t>
  </si>
  <si>
    <t>Pre-Kínder (NT1)</t>
  </si>
  <si>
    <t>A</t>
  </si>
  <si>
    <t>60/40 (Parvularia)</t>
  </si>
  <si>
    <t>No JEC</t>
  </si>
  <si>
    <t>✓ 100% Cubierto</t>
  </si>
  <si>
    <t>Kínder (NT2)</t>
  </si>
  <si>
    <t>1° Básico</t>
  </si>
  <si>
    <t>60/40 (1° Ciclo)</t>
  </si>
  <si>
    <t>JECD</t>
  </si>
  <si>
    <t>2° Básico</t>
  </si>
  <si>
    <t>3° Básico</t>
  </si>
  <si>
    <t>4° Básico</t>
  </si>
  <si>
    <t>5° Básico</t>
  </si>
  <si>
    <t>65/35 (2° Ciclo)</t>
  </si>
  <si>
    <t>6° Básico</t>
  </si>
  <si>
    <t>7° Básico</t>
  </si>
  <si>
    <t>8° Básico</t>
  </si>
  <si>
    <t>1° Medio HC</t>
  </si>
  <si>
    <t>65/35 (Ed. Media)</t>
  </si>
  <si>
    <t>2° Medio HC</t>
  </si>
  <si>
    <t>3° Medio TP Agropecuaria</t>
  </si>
  <si>
    <t>65/35 (Ed. Media TP)</t>
  </si>
  <si>
    <t>4° Medio TP Agropecuaria</t>
  </si>
  <si>
    <t>TOTALES</t>
  </si>
  <si>
    <t>✓ 100% CUBIERTO</t>
  </si>
  <si>
    <t>EQUIPO DIRECTIVO Y TÉCNICO-PEDAGÓGICO (DFL 1/1996 - FUNCIONES FUERA DE AULA)</t>
  </si>
  <si>
    <t>RBD: 3887 - LICEO PUEBLO SECO | HORAS CRONOLÓGICAS DE GESTIÓN INSTITUCIONAL</t>
  </si>
  <si>
    <t>RUN / RUT</t>
  </si>
  <si>
    <t>Nombres y Apellidos</t>
  </si>
  <si>
    <t>Cargo / Función Oficial</t>
  </si>
  <si>
    <t>Hrs Contrato Total</t>
  </si>
  <si>
    <t>Hrs Destinadas Función</t>
  </si>
  <si>
    <t>Hrs Aula Impartidas</t>
  </si>
  <si>
    <t>Fuente Financiamiento</t>
  </si>
  <si>
    <t>Situación Contractual</t>
  </si>
  <si>
    <t>Observaciones Normativas</t>
  </si>
  <si>
    <t>10.967.693-4</t>
  </si>
  <si>
    <t>Director</t>
  </si>
  <si>
    <t>Subvención General</t>
  </si>
  <si>
    <t>Titular (Alta Dirección Pública)</t>
  </si>
  <si>
    <t>Director seleccionado concurso ADP DFL 1.</t>
  </si>
  <si>
    <t>12.445.890-2</t>
  </si>
  <si>
    <t>GÓMEZ PEÑA, CRISTIAN ANDRÉS</t>
  </si>
  <si>
    <t>Inspector General</t>
  </si>
  <si>
    <t>Titular</t>
  </si>
  <si>
    <t>Jornada completa de inspectoría y convivencia.</t>
  </si>
  <si>
    <t>13.882.109-8</t>
  </si>
  <si>
    <t>SALAZAR ROJAS, MARCELA BEATRIZ</t>
  </si>
  <si>
    <t>Jefe Unidad Técnico Pedagógica</t>
  </si>
  <si>
    <t>Docente Mixta: 22 hrs UTP + 22 hrs Lenguaje Media.</t>
  </si>
  <si>
    <t>14.120.345-1</t>
  </si>
  <si>
    <t>PARRA MORALES, JORGE EDUARDO</t>
  </si>
  <si>
    <t>Evaluador Curricular UTP</t>
  </si>
  <si>
    <t>Contrata</t>
  </si>
  <si>
    <t>Monitoreo de cobertura curricular y SIMCE.</t>
  </si>
  <si>
    <t>15.678.901-3</t>
  </si>
  <si>
    <t>CONTRERAS LÓPEZ, CLAUDIA CECILIA</t>
  </si>
  <si>
    <t>Encargada Convivencia Escolar</t>
  </si>
  <si>
    <t>SEP (Ley 20.248)</t>
  </si>
  <si>
    <t>Coordinación PME y Ley Karin (21.643).</t>
  </si>
  <si>
    <t>16.789.012-4</t>
  </si>
  <si>
    <t>MARDONES FUENTES, CARLOS PATRICIO</t>
  </si>
  <si>
    <t>Orientador Educacional</t>
  </si>
  <si>
    <t>Orientación vocacional 7° Básico a 4° Medio.</t>
  </si>
  <si>
    <t>15.432.198-7</t>
  </si>
  <si>
    <t>BARRERA VERA, KATHERINE ANDREA</t>
  </si>
  <si>
    <t>Coordinadora CRA / Biblioteca</t>
  </si>
  <si>
    <t>Gestión biblioteca escolar y fomento lector CRA.</t>
  </si>
  <si>
    <t>TOTALES GESTIÓN DIRECTIVA Y TÉCNICA</t>
  </si>
  <si>
    <t>-</t>
  </si>
  <si>
    <t>✓ 100% ASIGNADO</t>
  </si>
  <si>
    <t>MATRIZ DOCENTE MULTITRAMO – LEY 20.903 (BLOQUES 60/40 Y 65/35, BI-NIVEL, ART. 69 Y MULTI-ASIGNATURA)</t>
  </si>
  <si>
    <t>RBD: 3887 - LICEO PUEBLO SECO | HORAS PEDAGÓGICAS POR CURSO Y AUDITORÍA PONDERADA AUTOMÁTICA</t>
  </si>
  <si>
    <t>IDENTIFICACIÓN Y SITUACIÓN CONTRACTUAL</t>
  </si>
  <si>
    <t>BLOQUE 60/40 (PARVULARIA Y 1° CICLO BÁSICO)</t>
  </si>
  <si>
    <t>BLOQUE 65/35 (2° CICLO BÁSICO Y ENSEÑANZA MEDIA)</t>
  </si>
  <si>
    <t>TOTALES, PONDERACIÓN LEY 20.903 Y AUDITORÍA</t>
  </si>
  <si>
    <t>RUN</t>
  </si>
  <si>
    <t>Situación</t>
  </si>
  <si>
    <t>Condición Especial</t>
  </si>
  <si>
    <t>Hrs Contrato Este RBD</t>
  </si>
  <si>
    <t>Hrs Otro RBD</t>
  </si>
  <si>
    <t>Asignaturas Impartidas (Resumen)</t>
  </si>
  <si>
    <t>PK</t>
  </si>
  <si>
    <t>K</t>
  </si>
  <si>
    <t>1°B</t>
  </si>
  <si>
    <t>2°B</t>
  </si>
  <si>
    <t>3°B</t>
  </si>
  <si>
    <t>4°B</t>
  </si>
  <si>
    <t>5°B</t>
  </si>
  <si>
    <t>6°B</t>
  </si>
  <si>
    <t>7°B</t>
  </si>
  <si>
    <t>8°B</t>
  </si>
  <si>
    <t>1°M</t>
  </si>
  <si>
    <t>2°M</t>
  </si>
  <si>
    <t>3°M TP</t>
  </si>
  <si>
    <t>4°M TP</t>
  </si>
  <si>
    <t>Total Aula Ejecutada</t>
  </si>
  <si>
    <t>Carga Contractual Equiv.</t>
  </si>
  <si>
    <t>Veredicto Multitramo</t>
  </si>
  <si>
    <t>11.234.567-8</t>
  </si>
  <si>
    <t>ARRIAGADA RIQUELME, MARÍA ELENA</t>
  </si>
  <si>
    <t>Regular</t>
  </si>
  <si>
    <t>Educación Parvularia NT1</t>
  </si>
  <si>
    <t>✓ Cuadrado</t>
  </si>
  <si>
    <t>Jornada completa NT1.</t>
  </si>
  <si>
    <t>12.345.678-9</t>
  </si>
  <si>
    <t>BAHAMONDES SOTO, PAOLA ANDREA</t>
  </si>
  <si>
    <t>Educación Parvularia NT2</t>
  </si>
  <si>
    <t>Jornada completa NT2.</t>
  </si>
  <si>
    <t>13.456.789-0</t>
  </si>
  <si>
    <t>CASTILLO VENEGAS, HÉCTOR RAMÓN</t>
  </si>
  <si>
    <t>Multi-asignatura 1°</t>
  </si>
  <si>
    <t>Lenguaje, Mate, Cs, Hist en 1°B</t>
  </si>
  <si>
    <t>Profesor jefe 1° Básico.</t>
  </si>
  <si>
    <t>14.567.890-1</t>
  </si>
  <si>
    <t>DURÁN CARRILLO, GLORIA ISABEL</t>
  </si>
  <si>
    <t>Multi-asignatura 2°</t>
  </si>
  <si>
    <t>Lenguaje, Mate, Cs, Hist en 2°B</t>
  </si>
  <si>
    <t>Profesora jefa 2° Básico.</t>
  </si>
  <si>
    <t>15.678.901-2</t>
  </si>
  <si>
    <t>ESPINOZA BRAVO, JAVIERA CONSTANZA</t>
  </si>
  <si>
    <t>Multi-asignatura 3°</t>
  </si>
  <si>
    <t>Lenguaje, Mate, Cs, Hist en 3°B</t>
  </si>
  <si>
    <t>Profesora jefa 3° Básico.</t>
  </si>
  <si>
    <t>16.789.012-3</t>
  </si>
  <si>
    <t>FUENTEALBA PINO, RODRIGO ESTEBAN</t>
  </si>
  <si>
    <t>Multi-asignatura 4°</t>
  </si>
  <si>
    <t>Lenguaje, Mate, Cs, Hist en 4°B</t>
  </si>
  <si>
    <t>Profesor jefe 4° Básico.</t>
  </si>
  <si>
    <t>17.543.210-8</t>
  </si>
  <si>
    <t>LÓPEZ SANDOVAL, MARCELA PAZ</t>
  </si>
  <si>
    <t>Bi-nivel / Multi-ciclo</t>
  </si>
  <si>
    <t>Inglés (1° a 4°B, 5° a 8°B, 1°-2°M)</t>
  </si>
  <si>
    <t>✓ Cuadrado Multitramo</t>
  </si>
  <si>
    <t>8h en 60/40 + 18h en 65/35.</t>
  </si>
  <si>
    <t>18.432.109-7</t>
  </si>
  <si>
    <t>MEDINA ALARCÓN, GONZALO ALONSO</t>
  </si>
  <si>
    <t>Ed. Física (1° a 8°B, 1° a 2°M)</t>
  </si>
  <si>
    <t>16h en 60/40 + 10h en 65/35.</t>
  </si>
  <si>
    <t>12.876.543-8</t>
  </si>
  <si>
    <t>NAVARRETE CÁCERES, VIVIANA SOLEDAD</t>
  </si>
  <si>
    <t>Artes Visuales y Música (1° a 8°B)</t>
  </si>
  <si>
    <t>13.987.654-2</t>
  </si>
  <si>
    <t>GARRIDO MORA, LILIANA PATRICIA</t>
  </si>
  <si>
    <t>Regular 65/35</t>
  </si>
  <si>
    <t>Lengua y Literatura (5° a 8° Básico)</t>
  </si>
  <si>
    <t>24 hrs aula en 2° Ciclo.</t>
  </si>
  <si>
    <t>14.876.543-1</t>
  </si>
  <si>
    <t>HENRÍQUEZ TOLEDO, MAURICIO IVÁN</t>
  </si>
  <si>
    <t>Matemática (5° a 8° Básico)</t>
  </si>
  <si>
    <t>15.765.432-0</t>
  </si>
  <si>
    <t>IBÁÑEZ SEPÚLVEDA, CAROLINA ANDREA</t>
  </si>
  <si>
    <t>Multi-asignatura / SEP</t>
  </si>
  <si>
    <t>Cs. Naturales (5°-8°) + Taller SEP</t>
  </si>
  <si>
    <t>✓ Cuadrado con SEP</t>
  </si>
  <si>
    <t>16h aula + 8h Taller SEP.</t>
  </si>
  <si>
    <t>16.654.321-9</t>
  </si>
  <si>
    <t>JARA CIFUENTES, FELIPE ANDRÉS</t>
  </si>
  <si>
    <t>Bi-nivel 65/35</t>
  </si>
  <si>
    <t>Historia (5° a 8°B y 1°-2° Medio)</t>
  </si>
  <si>
    <t>24h aula en 65/35 (Básica y Media).</t>
  </si>
  <si>
    <t>Docente Mixto (UTP+Aula)</t>
  </si>
  <si>
    <t>Jefatura UTP (22h) + Lenguaje 3°-4°M (12h)</t>
  </si>
  <si>
    <t>✓ Cuadrado Mixto</t>
  </si>
  <si>
    <t>22h fuera (Hoja 3) + 12h aula.</t>
  </si>
  <si>
    <t>13.765.432-7</t>
  </si>
  <si>
    <t>OJEDA MONTECINOS, RAÚL ENRIQUE</t>
  </si>
  <si>
    <t>Regular Media 65/35</t>
  </si>
  <si>
    <t>Lengua y Literatura (1° y 2° Medio)</t>
  </si>
  <si>
    <t>✓ Cuadrado con Apoyo</t>
  </si>
  <si>
    <t>12h aula + 12h apoyo UTP.</t>
  </si>
  <si>
    <t>14.654.321-6</t>
  </si>
  <si>
    <t>PINO VERGARA, CAMILA FERNANDA</t>
  </si>
  <si>
    <t>Matemática (1° a 4° Medio TP)</t>
  </si>
  <si>
    <t>26h aula en Media.</t>
  </si>
  <si>
    <t>15.543.210-5</t>
  </si>
  <si>
    <t>QUINTANA BUSTOS, VÍCTOR MANUEL</t>
  </si>
  <si>
    <t>Artículo 69 (Tope 24h)</t>
  </si>
  <si>
    <t>Física y Química (1° a 4° Medio)</t>
  </si>
  <si>
    <t>✓ Cuadrado Art. 69</t>
  </si>
  <si>
    <t>Tope 24h aula + 16h apoyo curricular.</t>
  </si>
  <si>
    <t>16.432.109-4</t>
  </si>
  <si>
    <t>RIVAS MELLADO, DANIEL ALEJANDRO</t>
  </si>
  <si>
    <t>Especialidad TP</t>
  </si>
  <si>
    <t>Módulos Agropecuarios (3° y 4° TP)</t>
  </si>
  <si>
    <t>✓ Cuadrado TP</t>
  </si>
  <si>
    <t>24h módulos agropecuarios.</t>
  </si>
  <si>
    <t>17.321.098-3</t>
  </si>
  <si>
    <t>SÁEZ VILCHES, NATALIA FRANCISCA</t>
  </si>
  <si>
    <t>Compartido (30h/14h)</t>
  </si>
  <si>
    <t>Talleres JECD y Robótica (1° a 8°)</t>
  </si>
  <si>
    <t>✓ Cuadrado Compartido</t>
  </si>
  <si>
    <t>30h este RBD + 14h Liceo Ortiz.</t>
  </si>
  <si>
    <t>TOTAL HORAS PEDAGÓGICAS ASIGNADAS AL CURSO</t>
  </si>
  <si>
    <t>✓ 100% CUADRADO</t>
  </si>
  <si>
    <t>Dotación validada UATP</t>
  </si>
  <si>
    <t>DETALLE ATÓMICO DE ASIGNACIONES (DOCENTE x CURSO x ASIGNATURA x TRAMO)</t>
  </si>
  <si>
    <t>RBD: 3887 - LICEO PUEBLO SECO | REGISTRO TABULAR PARA INGESTA DETERMINISTA A SQLITE EN LA APP</t>
  </si>
  <si>
    <t>RUN Docente</t>
  </si>
  <si>
    <t>Nombre Docente</t>
  </si>
  <si>
    <t>Curso Asignado</t>
  </si>
  <si>
    <t>Asignatura Oficial MINEDUC</t>
  </si>
  <si>
    <t>Hrs Semanales</t>
  </si>
  <si>
    <t>Tipo de Carga</t>
  </si>
  <si>
    <t>60/40</t>
  </si>
  <si>
    <t>Educación Parvularia</t>
  </si>
  <si>
    <t>Plan Común Troncal</t>
  </si>
  <si>
    <t>1° Básico A</t>
  </si>
  <si>
    <t>Lengua y Literatura</t>
  </si>
  <si>
    <t>Matemática</t>
  </si>
  <si>
    <t>Ciencias Naturales</t>
  </si>
  <si>
    <t>Historia, Geografía y Cs. Sociales</t>
  </si>
  <si>
    <t>Orientación y Tecnología</t>
  </si>
  <si>
    <t>Idioma Extranjero Inglés</t>
  </si>
  <si>
    <t>2° Básico A</t>
  </si>
  <si>
    <t>3° Básico A</t>
  </si>
  <si>
    <t>4° Básico A</t>
  </si>
  <si>
    <t>5° Básico A</t>
  </si>
  <si>
    <t>65/35</t>
  </si>
  <si>
    <t>6° Básico A</t>
  </si>
  <si>
    <t>7° Básico A</t>
  </si>
  <si>
    <t>8° Básico A</t>
  </si>
  <si>
    <t>1° Medio HC A</t>
  </si>
  <si>
    <t>2° Medio HC A</t>
  </si>
  <si>
    <t>Educación Física y Salud</t>
  </si>
  <si>
    <t>Talleres JECD Libre Disposición</t>
  </si>
  <si>
    <t>Taller Robótica y Ciencia Escolar</t>
  </si>
  <si>
    <t>Diferenciado TP Agropecuaria</t>
  </si>
  <si>
    <t>TOTAL MUESTRA DE ASIGNACIONES</t>
  </si>
  <si>
    <t>✓ MUESTRA ATÓMICA AUDITADA</t>
  </si>
  <si>
    <t>PROGRAMA DE INTEGRACIÓN ESCOLAR (PIE) – DECRETO 170 / 83</t>
  </si>
  <si>
    <t>RBD: 3887 - LICEO PUEBLO SECO | CO-DOCENCIA POR CICLO, RECURSOS Y EQUIPO MULTIPROFESIONAL</t>
  </si>
  <si>
    <t>SECCIÓN A: DOCENTES DE EDUCACIÓN DIFERENCIAL (CO-DOCENCIA Y AULA DE RECURSOS)</t>
  </si>
  <si>
    <t>Hrs Contrato PIE</t>
  </si>
  <si>
    <t>Hrs Co-docencia Aula</t>
  </si>
  <si>
    <t>Hrs Aula de Recursos</t>
  </si>
  <si>
    <t>Hrs Planificación Colab.</t>
  </si>
  <si>
    <t>Total Hrs Asignadas</t>
  </si>
  <si>
    <t>Cursos y Ciclos Focalizados</t>
  </si>
  <si>
    <t>Financiamiento</t>
  </si>
  <si>
    <t>Estado Cuadratura</t>
  </si>
  <si>
    <t>15.111.222-3</t>
  </si>
  <si>
    <t>TOLEDO MORAGA, ANDREA SOLEDAD</t>
  </si>
  <si>
    <t>1° Ciclo (1° y 2° Básico A)</t>
  </si>
  <si>
    <t>Subvención PIE</t>
  </si>
  <si>
    <t>16.222.333-4</t>
  </si>
  <si>
    <t>URRUTIA PALMA, CARLA VALERIA</t>
  </si>
  <si>
    <t>1° Ciclo (3° y 4° Básico A)</t>
  </si>
  <si>
    <t>17.333.444-5</t>
  </si>
  <si>
    <t>VALENZUELA TAPIA, FRANCISCA BELÉN</t>
  </si>
  <si>
    <t>2° Ciclo (5° a 8° Básico A)</t>
  </si>
  <si>
    <t>18.444.555-6</t>
  </si>
  <si>
    <t>YÁÑEZ CASTRO, JOSÉ TOMÁS</t>
  </si>
  <si>
    <t>Enseñanza Media (1° a 4° TP)</t>
  </si>
  <si>
    <t>SUBTOTAL HORAS DOCENTES PIE</t>
  </si>
  <si>
    <t>Subv. PIE</t>
  </si>
  <si>
    <t>✓ 176 HRS CUADRADAS</t>
  </si>
  <si>
    <t>SECCIÓN B: PROFESIONALES DE APOYO PIE / DUPLA PSICOSOCIAL (NO DOCENTES - LEY 21.109 / DTO. 170)</t>
  </si>
  <si>
    <t>Cargo Canónico DEP</t>
  </si>
  <si>
    <t>Estamento</t>
  </si>
  <si>
    <t>Vía Financiamiento</t>
  </si>
  <si>
    <t>Atención Principal</t>
  </si>
  <si>
    <t>Frecuencia Intervención</t>
  </si>
  <si>
    <t>Estado Registro</t>
  </si>
  <si>
    <t>16.555.666-7</t>
  </si>
  <si>
    <t>ZAPATA MEJÍAS, VALENTINA ANDREA</t>
  </si>
  <si>
    <t>Psicólogo</t>
  </si>
  <si>
    <t>Profesional</t>
  </si>
  <si>
    <t>Evaluación WISC-V, PACI y apoyo socioemocional</t>
  </si>
  <si>
    <t>Semanal individual/grupal</t>
  </si>
  <si>
    <t>✓ Activo</t>
  </si>
  <si>
    <t>17.666.777-8</t>
  </si>
  <si>
    <t>ALBORNOZ CANALES, FELIPE IGNACIO</t>
  </si>
  <si>
    <t>Fonoaudiólogo/a</t>
  </si>
  <si>
    <t>Trastorno Específico del Lenguaje (TEL)</t>
  </si>
  <si>
    <t>Sesiones fonoaudiológicas</t>
  </si>
  <si>
    <t>18.777.888-9</t>
  </si>
  <si>
    <t>BASTÍAS MORALES, CONSTANZA DANIELA</t>
  </si>
  <si>
    <t>Terapeuta ocupacional</t>
  </si>
  <si>
    <t>Integración sensorial y autonomía escolar</t>
  </si>
  <si>
    <t>Terapia ocupacional sala PIE</t>
  </si>
  <si>
    <t>15.888.999-0</t>
  </si>
  <si>
    <t>CERDA FIGUEROA, MATÍAS EDUARDO</t>
  </si>
  <si>
    <t>Trabajador  Social</t>
  </si>
  <si>
    <t>Dupla Psicosocial, visitas domiciliarias y red</t>
  </si>
  <si>
    <t>Atención casos vulnerables</t>
  </si>
  <si>
    <t>19.000.111-2</t>
  </si>
  <si>
    <t>DONOSO SALGADO, CAMILA ALEJANDRA</t>
  </si>
  <si>
    <t>Asistente técnico de Educación Diferencial</t>
  </si>
  <si>
    <t>Técnico</t>
  </si>
  <si>
    <t>Apoyo en aula de recursos y materiales NEEP</t>
  </si>
  <si>
    <t>Acompañamiento en sala</t>
  </si>
  <si>
    <t>SUBTOTAL HORAS PROFESIONALES DE APOYO</t>
  </si>
  <si>
    <t>✓ 192 HRS EFECTIVAS</t>
  </si>
  <si>
    <t>ASISTENTES DE LA EDUCACIÓN (LEY 21.109) – 17 CARGOS CANÓNICOS OFICIALES DEP</t>
  </si>
  <si>
    <t>RBD: 3887 - LICEO PUEBLO SECO | DESGLOSE POR VÍA DE FINANCIAMIENTO Y ESTAMENTO</t>
  </si>
  <si>
    <t>Estamento Ley 21.109</t>
  </si>
  <si>
    <t>Hrs Contrato</t>
  </si>
  <si>
    <t>Subv. Gral Indef.</t>
  </si>
  <si>
    <t>Subv. Gral Plazo Fijo</t>
  </si>
  <si>
    <t>SEP Indef.</t>
  </si>
  <si>
    <t>SEP Plazo Fijo</t>
  </si>
  <si>
    <t>PIE</t>
  </si>
  <si>
    <t>Observaciones</t>
  </si>
  <si>
    <t>14.587.990-6</t>
  </si>
  <si>
    <t>DÍAZ PUAS, LUISA ESTER</t>
  </si>
  <si>
    <t>Asistentes de aula</t>
  </si>
  <si>
    <t>Asistente de sala en 1° y 2° Básico.</t>
  </si>
  <si>
    <t>15.698.741-2</t>
  </si>
  <si>
    <t>ESPINOZA RIVAS, MARGARITA ROSA</t>
  </si>
  <si>
    <t>Asistente en Educación Parvularia NT1 y NT2.</t>
  </si>
  <si>
    <t>11.874.521-3</t>
  </si>
  <si>
    <t>FLORES VENEGAS, JOSÉ MIGUEL</t>
  </si>
  <si>
    <t>Administrativo</t>
  </si>
  <si>
    <t>Inspectores</t>
  </si>
  <si>
    <t>Inspector de patio y control de asistencia.</t>
  </si>
  <si>
    <t>12.985.632-4</t>
  </si>
  <si>
    <t>GUTIÉRREZ MORA, PEDRO PABLO</t>
  </si>
  <si>
    <t>Inspector de patio enseñanza media.</t>
  </si>
  <si>
    <t>13.096.743-5</t>
  </si>
  <si>
    <t>HERRERA BUSTOS, ANA MARÍA</t>
  </si>
  <si>
    <t>Secretaria</t>
  </si>
  <si>
    <t>Secretaria de Dirección y atención público.</t>
  </si>
  <si>
    <t>14.107.854-6</t>
  </si>
  <si>
    <t>INOSTROZA PARRA, CARMEN GLORIA</t>
  </si>
  <si>
    <t>Administrativos</t>
  </si>
  <si>
    <t>Administrativa de finanzas y rendiciones.</t>
  </si>
  <si>
    <t>10.218.965-7</t>
  </si>
  <si>
    <t>JIMÉNEZ SOTO, LUIS ALBERTO</t>
  </si>
  <si>
    <t>Auxiliar</t>
  </si>
  <si>
    <t>Auxiliares</t>
  </si>
  <si>
    <t>Auxiliar de aseo y servicios menores.</t>
  </si>
  <si>
    <t>11.329.076-8</t>
  </si>
  <si>
    <t>LARA CIFUENTES, ROSA HERMINIA</t>
  </si>
  <si>
    <t>Auxiliar de aseo pabellón básica.</t>
  </si>
  <si>
    <t>12.430.187-9</t>
  </si>
  <si>
    <t>MENDOZA ROJAS, MANUEL ANTONIO</t>
  </si>
  <si>
    <t>Auxiliar de aseo pabellón media.</t>
  </si>
  <si>
    <t>13.541.298-0</t>
  </si>
  <si>
    <t>NÚÑEZ ALARCÓN, JUAN CARLOS</t>
  </si>
  <si>
    <t>Nocheros</t>
  </si>
  <si>
    <t>Cuidador nocturno y seguridad del recinto.</t>
  </si>
  <si>
    <t>14.652.309-1</t>
  </si>
  <si>
    <t>ORTIZ PINO, FRANCISCO JAVIER</t>
  </si>
  <si>
    <t>Conductores Auxliar</t>
  </si>
  <si>
    <t>Conductor furgón transporte escolar rural.</t>
  </si>
  <si>
    <t>15.763.410-2</t>
  </si>
  <si>
    <t>POBLETE VERA, MARCO AURELIO</t>
  </si>
  <si>
    <t>Maestros</t>
  </si>
  <si>
    <t>Maestro mantención infraestructura y gasfitería.</t>
  </si>
  <si>
    <t>16.874.521-3</t>
  </si>
  <si>
    <t>QUIROZ MORALES, DANIELA PAZ</t>
  </si>
  <si>
    <t>Enfermero/TENS/Asistente con capacitación</t>
  </si>
  <si>
    <t>TENS sala primeros auxilios y salud escolar.</t>
  </si>
  <si>
    <t>17.985.632-4</t>
  </si>
  <si>
    <t>RAMÍREZ CASTILLO, SEBASTIÁN ANDRÉS</t>
  </si>
  <si>
    <t>Comunicaciones</t>
  </si>
  <si>
    <t>Gestor CRA, medios digitales y redes SEP.</t>
  </si>
  <si>
    <t>18.096.743-5</t>
  </si>
  <si>
    <t>SANDOVAL BRAVO, MARÍA JOSÉ</t>
  </si>
  <si>
    <t>Técnico de apoyo diferencial aula PIE.</t>
  </si>
  <si>
    <t>TOTALES ASISTENTES DE LA EDUCACIÓN</t>
  </si>
  <si>
    <t>✓ 660 HRS EFECTIVAS</t>
  </si>
  <si>
    <t>PARÁMETROS NORMATIVOS Y TABLAS OFICIALES DE CONVERSIÓN MINEDUC (LEY 20.903)</t>
  </si>
  <si>
    <t>ASIGNATURAS MINEDUC</t>
  </si>
  <si>
    <t>17 CARGOS CANÓNICOS DEP (AAEE)</t>
  </si>
  <si>
    <t>TABLA 60/40 (PARV. Y 1° CICLO)</t>
  </si>
  <si>
    <t>HRS AULA</t>
  </si>
  <si>
    <t>TABLA 65/35 (2° CICLO Y MEDIA)</t>
  </si>
  <si>
    <t>44 hrs contrato</t>
  </si>
  <si>
    <t>42 hrs contrato</t>
  </si>
  <si>
    <t>40 hrs contrato</t>
  </si>
  <si>
    <t>38 hrs contrato</t>
  </si>
  <si>
    <t>Asistente social</t>
  </si>
  <si>
    <t>36 hrs contrato</t>
  </si>
  <si>
    <t>Kinesiólogo/a</t>
  </si>
  <si>
    <t>34 hrs contrato</t>
  </si>
  <si>
    <t>32 hrs contrato</t>
  </si>
  <si>
    <t>Artes Visuales</t>
  </si>
  <si>
    <t>30 hrs contrato</t>
  </si>
  <si>
    <t>Música</t>
  </si>
  <si>
    <t>28 hrs contrato</t>
  </si>
  <si>
    <t>Tecnología</t>
  </si>
  <si>
    <t>26 hrs contrato</t>
  </si>
  <si>
    <t>Orientación</t>
  </si>
  <si>
    <t>24 hrs contrato</t>
  </si>
  <si>
    <t>Religión</t>
  </si>
  <si>
    <t>22 hrs contrato</t>
  </si>
  <si>
    <t>Filosofía</t>
  </si>
  <si>
    <t>Educación Ciudadana</t>
  </si>
  <si>
    <t>Ciencias para la Ciudadanía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</si>
</sst>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FFFFFF"/>
      <sz val="10"/>
      <name val="Calibri"/>
    </font>
    <font>
      <b/>
      <color rgb="0F172A"/>
      <sz val="9"/>
      <name val="Calibri"/>
    </font>
    <font>
      <b/>
      <sz val="9"/>
    </font>
    <font>
      <sz val="9"/>
    </font>
    <font>
      <b/>
      <color rgb="FFFFFF"/>
      <sz val="9"/>
      <name val="Calibri"/>
    </font>
    <font>
      <color rgb="1E293B"/>
      <sz val="9"/>
      <name val="Calibri"/>
    </font>
    <font>
      <b/>
      <color rgb="065F46"/>
      <sz val="9"/>
      <name val="Calibri"/>
    </font>
    <font>
      <i/>
      <sz val="9"/>
      <name val="Calibri"/>
    </font>
    <font>
      <b/>
      <color rgb="0369A1"/>
      <sz val="8.5"/>
      <name val="Calibri"/>
    </font>
    <font>
      <b/>
      <color rgb="5B21B6"/>
      <sz val="8.5"/>
      <name val="Calibri"/>
    </font>
    <font>
      <b/>
      <color rgb="065F46"/>
      <sz val="8.5"/>
      <name val="Calibri"/>
    </font>
    <font>
      <b/>
      <color rgb="92400E"/>
      <sz val="8.5"/>
      <name val="Calibri"/>
    </font>
  </fonts>
  <fills count="12">
    <fill>
      <patternFill patternType="none"/>
    </fill>
    <fill>
      <patternFill patternType="gray125"/>
    </fill>
    <fill>
      <patternFill patternType="solid">
        <fgColor rgb="002B49"/>
      </patternFill>
    </fill>
    <fill>
      <patternFill patternType="solid">
        <fgColor rgb="004B7A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E2E8F0"/>
      </patternFill>
    </fill>
    <fill>
      <patternFill patternType="solid">
        <fgColor rgb="E0F2FE"/>
      </patternFill>
    </fill>
    <fill>
      <patternFill patternType="solid">
        <fgColor rgb="EDE9FE"/>
      </patternFill>
    </fill>
    <fill>
      <patternFill patternType="solid">
        <fgColor rgb="0284C7"/>
      </patternFill>
    </fill>
    <fill>
      <patternFill patternType="solid">
        <fgColor rgb="1E40AF"/>
      </patternFill>
    </fill>
    <fill>
      <patternFill patternType="solid">
        <fgColor rgb="FEF3C7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475569"/>
      </top>
      <bottom style="double">
        <color rgb="0F172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/>
    <xf numFmtId="0" fontId="5" fillId="4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6" fillId="3" borderId="0" xfId="0" applyFont="1" applyFill="1"/>
    <xf numFmtId="0" fontId="6" fillId="9" borderId="0" xfId="0" applyFont="1" applyFill="1"/>
    <xf numFmtId="0" fontId="6" fillId="10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J25"/>
  <sheetViews>
    <sheetView workbookViewId="0"/>
  </sheetViews>
  <sheetFormatPr defaultRowHeight="15" outlineLevelRow="0" outlineLevelCol="0" x14ac:dyDescent="55"/>
  <cols>
    <col min="1" max="1" width="44" customWidth="1"/>
    <col min="2" max="2" width="14" customWidth="1"/>
    <col min="3" max="3" width="20" customWidth="1"/>
    <col min="4" max="5" width="18" customWidth="1"/>
    <col min="6" max="6" width="20" customWidth="1"/>
    <col min="7" max="7" width="16" customWidth="1"/>
    <col min="8" max="8" width="28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>
        <v>3887</v>
      </c>
      <c r="C5" s="4" t="s">
        <v>4</v>
      </c>
      <c r="D5" s="5" t="s">
        <v>5</v>
      </c>
    </row>
    <row r="6" spans="1:4" x14ac:dyDescent="0.25">
      <c r="A6" s="4" t="s">
        <v>6</v>
      </c>
      <c r="B6" s="4" t="s">
        <v>7</v>
      </c>
      <c r="C6" s="4" t="s">
        <v>8</v>
      </c>
      <c r="D6" s="5" t="s">
        <v>9</v>
      </c>
    </row>
    <row r="7" spans="1:4" x14ac:dyDescent="0.25">
      <c r="A7" s="4" t="s">
        <v>10</v>
      </c>
      <c r="B7" s="5" t="s">
        <v>11</v>
      </c>
      <c r="C7" s="4" t="s">
        <v>12</v>
      </c>
      <c r="D7" s="5" t="s">
        <v>13</v>
      </c>
    </row>
    <row r="8" spans="1:4" x14ac:dyDescent="0.25">
      <c r="A8" s="4" t="s">
        <v>14</v>
      </c>
      <c r="B8" s="5" t="s">
        <v>15</v>
      </c>
      <c r="C8" s="4" t="s">
        <v>16</v>
      </c>
      <c r="D8" s="5" t="s">
        <v>17</v>
      </c>
    </row>
    <row r="10" spans="1:8" x14ac:dyDescent="0.25">
      <c r="A10" s="3" t="s">
        <v>18</v>
      </c>
      <c r="B10" s="3"/>
      <c r="C10" s="3"/>
      <c r="D10" s="3"/>
      <c r="E10" s="3"/>
      <c r="F10" s="3"/>
      <c r="G10" s="3"/>
      <c r="H10" s="3"/>
    </row>
    <row r="11" ht="24" customHeight="1" spans="1:8" x14ac:dyDescent="0.25">
      <c r="A11" s="6" t="s">
        <v>19</v>
      </c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</row>
    <row r="12" ht="20" customHeight="1" spans="1:8" x14ac:dyDescent="0.25">
      <c r="A12" s="7" t="s">
        <v>27</v>
      </c>
      <c r="B12" s="8">
        <f>COUNTA('4. Docentes de Aula'!B7:B25)</f>
      </c>
      <c r="C12" s="8">
        <f>SUM('4. Docentes de Aula'!F7:F25)</f>
      </c>
      <c r="D12" s="8">
        <f>SUM('4. Docentes de Aula'!W7:W25)</f>
      </c>
      <c r="E12" s="8">
        <f>SUM('4. Docentes de Aula'!X7:X25)</f>
      </c>
      <c r="F12" s="8">
        <f>SUM('4. Docentes de Aula'!Y7:Y25)</f>
      </c>
      <c r="G12" s="8">
        <f>SUM('4. Docentes de Aula'!F7:F25)-SUM('4. Docentes de Aula'!AA7:AA25)</f>
      </c>
      <c r="H12" s="9" t="s">
        <v>28</v>
      </c>
    </row>
    <row r="13" ht="20" customHeight="1" spans="1:8" x14ac:dyDescent="0.25">
      <c r="A13" s="7" t="s">
        <v>29</v>
      </c>
      <c r="B13" s="8">
        <f>COUNTA('3. Directivos y Tecnicos'!B10:B16)</f>
      </c>
      <c r="C13" s="8">
        <f>SUM('3. Directivos y Tecnicos'!E10:E16)</f>
      </c>
      <c r="D13" s="8">
        <v>0</v>
      </c>
      <c r="E13" s="8">
        <v>0</v>
      </c>
      <c r="F13" s="8">
        <f>SUM('3. Directivos y Tecnicos'!F10:F16)</f>
      </c>
      <c r="G13" s="8">
        <v>0</v>
      </c>
      <c r="H13" s="9" t="s">
        <v>30</v>
      </c>
    </row>
    <row r="14" ht="20" customHeight="1" spans="1:8" x14ac:dyDescent="0.25">
      <c r="A14" s="7" t="s">
        <v>31</v>
      </c>
      <c r="B14" s="8">
        <f>COUNTA('5. Equipo PIE'!B10:B13)</f>
      </c>
      <c r="C14" s="8">
        <f>SUM('5. Equipo PIE'!D10:D13)</f>
      </c>
      <c r="D14" s="8">
        <f>SUM('5. Equipo PIE'!E10:E11)</f>
      </c>
      <c r="E14" s="8">
        <f>SUM('5. Equipo PIE'!E12:E13)</f>
      </c>
      <c r="F14" s="8">
        <f>SUM('5. Equipo PIE'!F10:F13)+SUM('5. Equipo PIE'!G10:G13)</f>
      </c>
      <c r="G14" s="8">
        <v>0</v>
      </c>
      <c r="H14" s="9" t="s">
        <v>32</v>
      </c>
    </row>
    <row r="15" ht="20" customHeight="1" spans="1:8" x14ac:dyDescent="0.25">
      <c r="A15" s="7" t="s">
        <v>33</v>
      </c>
      <c r="B15" s="8">
        <f>COUNTA('5. Equipo PIE'!B19:B23)</f>
      </c>
      <c r="C15" s="8">
        <f>SUM('5. Equipo PIE'!D19:D23)</f>
      </c>
      <c r="D15" s="8">
        <v>0</v>
      </c>
      <c r="E15" s="8">
        <v>0</v>
      </c>
      <c r="F15" s="8">
        <f>SUM('5. Equipo PIE'!D19:D23)</f>
      </c>
      <c r="G15" s="8">
        <v>0</v>
      </c>
      <c r="H15" s="9" t="s">
        <v>34</v>
      </c>
    </row>
    <row r="16" ht="20" customHeight="1" spans="1:8" x14ac:dyDescent="0.25">
      <c r="A16" s="7" t="s">
        <v>35</v>
      </c>
      <c r="B16" s="8">
        <f>COUNTA('6. Asistentes Educacion'!B10:B24)</f>
      </c>
      <c r="C16" s="8">
        <f>SUM('6. Asistentes Educacion'!F10:F24)</f>
      </c>
      <c r="D16" s="8">
        <v>0</v>
      </c>
      <c r="E16" s="8">
        <v>0</v>
      </c>
      <c r="F16" s="8">
        <f>SUM('6. Asistentes Educacion'!F10:F24)</f>
      </c>
      <c r="G16" s="8">
        <v>0</v>
      </c>
      <c r="H16" s="9" t="s">
        <v>36</v>
      </c>
    </row>
    <row r="17" ht="20" customHeight="1" spans="1:8" x14ac:dyDescent="0.25">
      <c r="A17" s="10" t="s">
        <v>37</v>
      </c>
      <c r="B17" s="11">
        <f>SUM(B12:B16)</f>
      </c>
      <c r="C17" s="11">
        <f>SUM(C12:C16)</f>
      </c>
      <c r="D17" s="11">
        <f>SUM(D12:D16)</f>
      </c>
      <c r="E17" s="11">
        <f>SUM(E12:E16)</f>
      </c>
      <c r="F17" s="11">
        <f>SUM(F12:F16)</f>
      </c>
      <c r="G17" s="11">
        <f>SUM(G12:G16)</f>
      </c>
      <c r="H17" s="11" t="s">
        <v>38</v>
      </c>
    </row>
    <row r="19" spans="1:8" x14ac:dyDescent="0.25">
      <c r="A19" s="3" t="s">
        <v>39</v>
      </c>
      <c r="B19" s="3"/>
      <c r="C19" s="3"/>
      <c r="D19" s="3"/>
      <c r="E19" s="3"/>
      <c r="F19" s="3"/>
      <c r="G19" s="3"/>
      <c r="H19" s="3"/>
    </row>
    <row r="20" ht="22" customHeight="1" spans="1:8" x14ac:dyDescent="0.25">
      <c r="A20" s="12" t="s">
        <v>40</v>
      </c>
      <c r="B20" s="12"/>
      <c r="C20" s="12" t="s">
        <v>41</v>
      </c>
      <c r="D20" s="12" t="s">
        <v>42</v>
      </c>
      <c r="E20" s="12" t="s">
        <v>43</v>
      </c>
      <c r="F20" s="12"/>
      <c r="G20" s="12"/>
      <c r="H20" s="12"/>
    </row>
    <row r="21" ht="20" customHeight="1" spans="1:8" x14ac:dyDescent="0.25">
      <c r="A21" s="13" t="s">
        <v>44</v>
      </c>
      <c r="B21" s="13"/>
      <c r="C21" s="14" t="s">
        <v>45</v>
      </c>
      <c r="D21" s="9" t="s">
        <v>46</v>
      </c>
      <c r="E21" s="15" t="s">
        <v>47</v>
      </c>
      <c r="F21" s="15"/>
      <c r="G21" s="15"/>
      <c r="H21" s="15"/>
    </row>
    <row r="22" ht="20" customHeight="1" spans="1:8" x14ac:dyDescent="0.25">
      <c r="A22" s="13" t="s">
        <v>48</v>
      </c>
      <c r="B22" s="13"/>
      <c r="C22" s="14" t="s">
        <v>49</v>
      </c>
      <c r="D22" s="9" t="s">
        <v>50</v>
      </c>
      <c r="E22" s="15" t="s">
        <v>51</v>
      </c>
      <c r="F22" s="15"/>
      <c r="G22" s="15"/>
      <c r="H22" s="15"/>
    </row>
    <row r="23" ht="20" customHeight="1" spans="1:8" x14ac:dyDescent="0.25">
      <c r="A23" s="13" t="s">
        <v>52</v>
      </c>
      <c r="B23" s="13"/>
      <c r="C23" s="14" t="s">
        <v>49</v>
      </c>
      <c r="D23" s="9" t="s">
        <v>53</v>
      </c>
      <c r="E23" s="15" t="s">
        <v>54</v>
      </c>
      <c r="F23" s="15"/>
      <c r="G23" s="15"/>
      <c r="H23" s="15"/>
    </row>
    <row r="24" ht="20" customHeight="1" spans="1:8" x14ac:dyDescent="0.25">
      <c r="A24" s="13" t="s">
        <v>55</v>
      </c>
      <c r="B24" s="13"/>
      <c r="C24" s="14" t="s">
        <v>49</v>
      </c>
      <c r="D24" s="9" t="s">
        <v>56</v>
      </c>
      <c r="E24" s="15" t="s">
        <v>57</v>
      </c>
      <c r="F24" s="15"/>
      <c r="G24" s="15"/>
      <c r="H24" s="15"/>
    </row>
    <row r="25" ht="20" customHeight="1" spans="1:8" x14ac:dyDescent="0.25">
      <c r="A25" s="13" t="s">
        <v>58</v>
      </c>
      <c r="B25" s="13"/>
      <c r="C25" s="14" t="s">
        <v>59</v>
      </c>
      <c r="D25" s="9" t="s">
        <v>60</v>
      </c>
      <c r="E25" s="15" t="s">
        <v>61</v>
      </c>
      <c r="F25" s="15"/>
      <c r="G25" s="15"/>
      <c r="H25" s="15"/>
    </row>
  </sheetData>
  <mergeCells count="17">
    <mergeCell ref="A1:J1"/>
    <mergeCell ref="A2:J2"/>
    <mergeCell ref="A4:D4"/>
    <mergeCell ref="A10:H10"/>
    <mergeCell ref="A19:H19"/>
    <mergeCell ref="A20:B20"/>
    <mergeCell ref="E20:H20"/>
    <mergeCell ref="A21:B21"/>
    <mergeCell ref="E21:H21"/>
    <mergeCell ref="A22:B22"/>
    <mergeCell ref="E22:H22"/>
    <mergeCell ref="A23:B23"/>
    <mergeCell ref="E23:H23"/>
    <mergeCell ref="A24:B24"/>
    <mergeCell ref="E24:H24"/>
    <mergeCell ref="A25:B25"/>
    <mergeCell ref="E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9488"/>
  </sheetPr>
  <dimension ref="A1:M19"/>
  <sheetViews>
    <sheetView workbookViewId="0"/>
  </sheetViews>
  <sheetFormatPr defaultRowHeight="15" outlineLevelRow="0" outlineLevelCol="0" x14ac:dyDescent="55"/>
  <cols>
    <col min="1" max="1" width="5" customWidth="1"/>
    <col min="2" max="2" width="26" customWidth="1"/>
    <col min="3" max="3" width="7" customWidth="1"/>
    <col min="4" max="4" width="20" customWidth="1"/>
    <col min="5" max="5" width="13" customWidth="1"/>
    <col min="6" max="6" width="15" customWidth="1"/>
    <col min="7" max="7" width="12" customWidth="1"/>
    <col min="8" max="8" width="14" customWidth="1"/>
    <col min="9" max="9" width="18" customWidth="1"/>
    <col min="10" max="10" width="16" customWidth="1"/>
    <col min="11" max="11" width="18" customWidth="1"/>
    <col min="12" max="12" width="19" customWidth="1"/>
    <col min="13" max="13" width="17" customWidth="1"/>
  </cols>
  <sheetData>
    <row r="1" ht="28" customHeight="1" spans="1:13" x14ac:dyDescent="0.25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8" customHeight="1" spans="1:13" x14ac:dyDescent="0.25">
      <c r="A4" s="16" t="s">
        <v>64</v>
      </c>
      <c r="B4" s="16" t="s">
        <v>65</v>
      </c>
      <c r="C4" s="16" t="s">
        <v>66</v>
      </c>
      <c r="D4" s="16" t="s">
        <v>67</v>
      </c>
      <c r="E4" s="16" t="s">
        <v>68</v>
      </c>
      <c r="F4" s="16" t="s">
        <v>69</v>
      </c>
      <c r="G4" s="16" t="s">
        <v>70</v>
      </c>
      <c r="H4" s="16" t="s">
        <v>71</v>
      </c>
      <c r="I4" s="16" t="s">
        <v>72</v>
      </c>
      <c r="J4" s="16" t="s">
        <v>73</v>
      </c>
      <c r="K4" s="16" t="s">
        <v>74</v>
      </c>
      <c r="L4" s="16" t="s">
        <v>75</v>
      </c>
      <c r="M4" s="16" t="s">
        <v>76</v>
      </c>
    </row>
    <row r="5" ht="19" customHeight="1" spans="1:13" x14ac:dyDescent="0.25">
      <c r="A5" s="8">
        <v>1</v>
      </c>
      <c r="B5" s="8" t="s">
        <v>77</v>
      </c>
      <c r="C5" s="8" t="s">
        <v>78</v>
      </c>
      <c r="D5" s="17" t="s">
        <v>79</v>
      </c>
      <c r="E5" s="8" t="s">
        <v>80</v>
      </c>
      <c r="F5" s="8">
        <v>25</v>
      </c>
      <c r="G5" s="8">
        <v>30</v>
      </c>
      <c r="H5" s="8">
        <v>5</v>
      </c>
      <c r="I5" s="8">
        <v>22</v>
      </c>
      <c r="J5" s="8">
        <v>0</v>
      </c>
      <c r="K5" s="8">
        <v>22</v>
      </c>
      <c r="L5" s="8">
        <f>'4. Docentes de Aula'!I26</f>
      </c>
      <c r="M5" s="9" t="s">
        <v>81</v>
      </c>
    </row>
    <row r="6" ht="19" customHeight="1" spans="1:13" x14ac:dyDescent="0.25">
      <c r="A6" s="8">
        <v>2</v>
      </c>
      <c r="B6" s="8" t="s">
        <v>82</v>
      </c>
      <c r="C6" s="8" t="s">
        <v>78</v>
      </c>
      <c r="D6" s="17" t="s">
        <v>79</v>
      </c>
      <c r="E6" s="8" t="s">
        <v>80</v>
      </c>
      <c r="F6" s="8">
        <v>28</v>
      </c>
      <c r="G6" s="8">
        <v>30</v>
      </c>
      <c r="H6" s="8">
        <v>5</v>
      </c>
      <c r="I6" s="8">
        <v>22</v>
      </c>
      <c r="J6" s="8">
        <v>0</v>
      </c>
      <c r="K6" s="8">
        <v>22</v>
      </c>
      <c r="L6" s="8">
        <f>'4. Docentes de Aula'!J26</f>
      </c>
      <c r="M6" s="9" t="s">
        <v>81</v>
      </c>
    </row>
    <row r="7" ht="19" customHeight="1" spans="1:13" x14ac:dyDescent="0.25">
      <c r="A7" s="8">
        <v>3</v>
      </c>
      <c r="B7" s="8" t="s">
        <v>83</v>
      </c>
      <c r="C7" s="8" t="s">
        <v>78</v>
      </c>
      <c r="D7" s="17" t="s">
        <v>84</v>
      </c>
      <c r="E7" s="8" t="s">
        <v>85</v>
      </c>
      <c r="F7" s="8">
        <v>32</v>
      </c>
      <c r="G7" s="8">
        <v>35</v>
      </c>
      <c r="H7" s="8">
        <v>7</v>
      </c>
      <c r="I7" s="8">
        <v>30</v>
      </c>
      <c r="J7" s="8">
        <v>8</v>
      </c>
      <c r="K7" s="8">
        <v>38</v>
      </c>
      <c r="L7" s="8">
        <f>'4. Docentes de Aula'!K26</f>
      </c>
      <c r="M7" s="9" t="s">
        <v>81</v>
      </c>
    </row>
    <row r="8" ht="19" customHeight="1" spans="1:13" x14ac:dyDescent="0.25">
      <c r="A8" s="8">
        <v>4</v>
      </c>
      <c r="B8" s="8" t="s">
        <v>86</v>
      </c>
      <c r="C8" s="8" t="s">
        <v>78</v>
      </c>
      <c r="D8" s="17" t="s">
        <v>84</v>
      </c>
      <c r="E8" s="8" t="s">
        <v>85</v>
      </c>
      <c r="F8" s="8">
        <v>30</v>
      </c>
      <c r="G8" s="8">
        <v>35</v>
      </c>
      <c r="H8" s="8">
        <v>7</v>
      </c>
      <c r="I8" s="8">
        <v>30</v>
      </c>
      <c r="J8" s="8">
        <v>8</v>
      </c>
      <c r="K8" s="8">
        <v>38</v>
      </c>
      <c r="L8" s="8">
        <f>'4. Docentes de Aula'!L26</f>
      </c>
      <c r="M8" s="9" t="s">
        <v>81</v>
      </c>
    </row>
    <row r="9" ht="19" customHeight="1" spans="1:13" x14ac:dyDescent="0.25">
      <c r="A9" s="8">
        <v>5</v>
      </c>
      <c r="B9" s="8" t="s">
        <v>87</v>
      </c>
      <c r="C9" s="8" t="s">
        <v>78</v>
      </c>
      <c r="D9" s="17" t="s">
        <v>84</v>
      </c>
      <c r="E9" s="8" t="s">
        <v>85</v>
      </c>
      <c r="F9" s="8">
        <v>33</v>
      </c>
      <c r="G9" s="8">
        <v>35</v>
      </c>
      <c r="H9" s="8">
        <v>7</v>
      </c>
      <c r="I9" s="8">
        <v>30</v>
      </c>
      <c r="J9" s="8">
        <v>8</v>
      </c>
      <c r="K9" s="8">
        <v>38</v>
      </c>
      <c r="L9" s="8">
        <f>'4. Docentes de Aula'!M26</f>
      </c>
      <c r="M9" s="9" t="s">
        <v>81</v>
      </c>
    </row>
    <row r="10" ht="19" customHeight="1" spans="1:13" x14ac:dyDescent="0.25">
      <c r="A10" s="8">
        <v>6</v>
      </c>
      <c r="B10" s="8" t="s">
        <v>88</v>
      </c>
      <c r="C10" s="8" t="s">
        <v>78</v>
      </c>
      <c r="D10" s="17" t="s">
        <v>84</v>
      </c>
      <c r="E10" s="8" t="s">
        <v>85</v>
      </c>
      <c r="F10" s="8">
        <v>31</v>
      </c>
      <c r="G10" s="8">
        <v>35</v>
      </c>
      <c r="H10" s="8">
        <v>7</v>
      </c>
      <c r="I10" s="8">
        <v>30</v>
      </c>
      <c r="J10" s="8">
        <v>8</v>
      </c>
      <c r="K10" s="8">
        <v>38</v>
      </c>
      <c r="L10" s="8">
        <f>'4. Docentes de Aula'!N26</f>
      </c>
      <c r="M10" s="9" t="s">
        <v>81</v>
      </c>
    </row>
    <row r="11" ht="19" customHeight="1" spans="1:13" x14ac:dyDescent="0.25">
      <c r="A11" s="8">
        <v>7</v>
      </c>
      <c r="B11" s="8" t="s">
        <v>89</v>
      </c>
      <c r="C11" s="8" t="s">
        <v>78</v>
      </c>
      <c r="D11" s="18" t="s">
        <v>90</v>
      </c>
      <c r="E11" s="8" t="s">
        <v>85</v>
      </c>
      <c r="F11" s="8">
        <v>34</v>
      </c>
      <c r="G11" s="8">
        <v>38</v>
      </c>
      <c r="H11" s="8">
        <v>7</v>
      </c>
      <c r="I11" s="8">
        <v>31</v>
      </c>
      <c r="J11" s="8">
        <v>7</v>
      </c>
      <c r="K11" s="8">
        <v>38</v>
      </c>
      <c r="L11" s="8">
        <f>'4. Docentes de Aula'!O26</f>
      </c>
      <c r="M11" s="9" t="s">
        <v>81</v>
      </c>
    </row>
    <row r="12" ht="19" customHeight="1" spans="1:13" x14ac:dyDescent="0.25">
      <c r="A12" s="8">
        <v>8</v>
      </c>
      <c r="B12" s="8" t="s">
        <v>91</v>
      </c>
      <c r="C12" s="8" t="s">
        <v>78</v>
      </c>
      <c r="D12" s="18" t="s">
        <v>90</v>
      </c>
      <c r="E12" s="8" t="s">
        <v>85</v>
      </c>
      <c r="F12" s="8">
        <v>35</v>
      </c>
      <c r="G12" s="8">
        <v>38</v>
      </c>
      <c r="H12" s="8">
        <v>7</v>
      </c>
      <c r="I12" s="8">
        <v>31</v>
      </c>
      <c r="J12" s="8">
        <v>7</v>
      </c>
      <c r="K12" s="8">
        <v>38</v>
      </c>
      <c r="L12" s="8">
        <f>'4. Docentes de Aula'!P26</f>
      </c>
      <c r="M12" s="9" t="s">
        <v>81</v>
      </c>
    </row>
    <row r="13" ht="19" customHeight="1" spans="1:13" x14ac:dyDescent="0.25">
      <c r="A13" s="8">
        <v>9</v>
      </c>
      <c r="B13" s="8" t="s">
        <v>92</v>
      </c>
      <c r="C13" s="8" t="s">
        <v>78</v>
      </c>
      <c r="D13" s="18" t="s">
        <v>90</v>
      </c>
      <c r="E13" s="8" t="s">
        <v>85</v>
      </c>
      <c r="F13" s="8">
        <v>36</v>
      </c>
      <c r="G13" s="8">
        <v>40</v>
      </c>
      <c r="H13" s="8">
        <v>7</v>
      </c>
      <c r="I13" s="8">
        <v>32</v>
      </c>
      <c r="J13" s="8">
        <v>6</v>
      </c>
      <c r="K13" s="8">
        <v>38</v>
      </c>
      <c r="L13" s="8">
        <f>'4. Docentes de Aula'!Q26</f>
      </c>
      <c r="M13" s="9" t="s">
        <v>81</v>
      </c>
    </row>
    <row r="14" ht="19" customHeight="1" spans="1:13" x14ac:dyDescent="0.25">
      <c r="A14" s="8">
        <v>10</v>
      </c>
      <c r="B14" s="8" t="s">
        <v>93</v>
      </c>
      <c r="C14" s="8" t="s">
        <v>78</v>
      </c>
      <c r="D14" s="18" t="s">
        <v>90</v>
      </c>
      <c r="E14" s="8" t="s">
        <v>85</v>
      </c>
      <c r="F14" s="8">
        <v>35</v>
      </c>
      <c r="G14" s="8">
        <v>40</v>
      </c>
      <c r="H14" s="8">
        <v>7</v>
      </c>
      <c r="I14" s="8">
        <v>32</v>
      </c>
      <c r="J14" s="8">
        <v>6</v>
      </c>
      <c r="K14" s="8">
        <v>38</v>
      </c>
      <c r="L14" s="8">
        <f>'4. Docentes de Aula'!R26</f>
      </c>
      <c r="M14" s="9" t="s">
        <v>81</v>
      </c>
    </row>
    <row r="15" ht="19" customHeight="1" spans="1:13" x14ac:dyDescent="0.25">
      <c r="A15" s="8">
        <v>11</v>
      </c>
      <c r="B15" s="8" t="s">
        <v>94</v>
      </c>
      <c r="C15" s="8" t="s">
        <v>78</v>
      </c>
      <c r="D15" s="18" t="s">
        <v>95</v>
      </c>
      <c r="E15" s="8" t="s">
        <v>85</v>
      </c>
      <c r="F15" s="8">
        <v>38</v>
      </c>
      <c r="G15" s="8">
        <v>42</v>
      </c>
      <c r="H15" s="8">
        <v>6</v>
      </c>
      <c r="I15" s="8">
        <v>36</v>
      </c>
      <c r="J15" s="8">
        <v>6</v>
      </c>
      <c r="K15" s="8">
        <v>42</v>
      </c>
      <c r="L15" s="8">
        <f>'4. Docentes de Aula'!S26</f>
      </c>
      <c r="M15" s="9" t="s">
        <v>81</v>
      </c>
    </row>
    <row r="16" ht="19" customHeight="1" spans="1:13" x14ac:dyDescent="0.25">
      <c r="A16" s="8">
        <v>12</v>
      </c>
      <c r="B16" s="8" t="s">
        <v>96</v>
      </c>
      <c r="C16" s="8" t="s">
        <v>78</v>
      </c>
      <c r="D16" s="18" t="s">
        <v>95</v>
      </c>
      <c r="E16" s="8" t="s">
        <v>85</v>
      </c>
      <c r="F16" s="8">
        <v>37</v>
      </c>
      <c r="G16" s="8">
        <v>42</v>
      </c>
      <c r="H16" s="8">
        <v>6</v>
      </c>
      <c r="I16" s="8">
        <v>36</v>
      </c>
      <c r="J16" s="8">
        <v>6</v>
      </c>
      <c r="K16" s="8">
        <v>42</v>
      </c>
      <c r="L16" s="8">
        <f>'4. Docentes de Aula'!T26</f>
      </c>
      <c r="M16" s="9" t="s">
        <v>81</v>
      </c>
    </row>
    <row r="17" ht="19" customHeight="1" spans="1:13" x14ac:dyDescent="0.25">
      <c r="A17" s="8">
        <v>13</v>
      </c>
      <c r="B17" s="8" t="s">
        <v>97</v>
      </c>
      <c r="C17" s="8" t="s">
        <v>78</v>
      </c>
      <c r="D17" s="18" t="s">
        <v>98</v>
      </c>
      <c r="E17" s="8" t="s">
        <v>85</v>
      </c>
      <c r="F17" s="8">
        <v>32</v>
      </c>
      <c r="G17" s="8">
        <v>35</v>
      </c>
      <c r="H17" s="8">
        <v>5</v>
      </c>
      <c r="I17" s="8">
        <v>36</v>
      </c>
      <c r="J17" s="8">
        <v>6</v>
      </c>
      <c r="K17" s="8">
        <v>42</v>
      </c>
      <c r="L17" s="8">
        <f>'4. Docentes de Aula'!U26</f>
      </c>
      <c r="M17" s="9" t="s">
        <v>81</v>
      </c>
    </row>
    <row r="18" ht="19" customHeight="1" spans="1:13" x14ac:dyDescent="0.25">
      <c r="A18" s="8">
        <v>14</v>
      </c>
      <c r="B18" s="8" t="s">
        <v>99</v>
      </c>
      <c r="C18" s="8" t="s">
        <v>78</v>
      </c>
      <c r="D18" s="18" t="s">
        <v>98</v>
      </c>
      <c r="E18" s="8" t="s">
        <v>85</v>
      </c>
      <c r="F18" s="8">
        <v>30</v>
      </c>
      <c r="G18" s="8">
        <v>35</v>
      </c>
      <c r="H18" s="8">
        <v>5</v>
      </c>
      <c r="I18" s="8">
        <v>36</v>
      </c>
      <c r="J18" s="8">
        <v>6</v>
      </c>
      <c r="K18" s="8">
        <v>42</v>
      </c>
      <c r="L18" s="8">
        <f>'4. Docentes de Aula'!V26</f>
      </c>
      <c r="M18" s="9" t="s">
        <v>81</v>
      </c>
    </row>
    <row r="19" ht="22" customHeight="1" spans="1:13" x14ac:dyDescent="0.25">
      <c r="A19" s="11" t="s">
        <v>100</v>
      </c>
      <c r="B19" s="11"/>
      <c r="C19" s="11"/>
      <c r="D19" s="11"/>
      <c r="E19" s="11"/>
      <c r="F19" s="11">
        <f>SUM(F5:F18)</f>
      </c>
      <c r="G19" s="11">
        <f>SUM(G5:G18)</f>
      </c>
      <c r="H19" s="11">
        <f>SUM(H5:H18)</f>
      </c>
      <c r="I19" s="11">
        <f>SUM(I5:I18)</f>
      </c>
      <c r="J19" s="11">
        <f>SUM(J5:J18)</f>
      </c>
      <c r="K19" s="11">
        <f>SUM(K5:K18)</f>
      </c>
      <c r="L19" s="11">
        <f>SUM(L5:L18)</f>
      </c>
      <c r="M19" s="11" t="s">
        <v>101</v>
      </c>
    </row>
  </sheetData>
  <mergeCells count="3">
    <mergeCell ref="A1:M1"/>
    <mergeCell ref="A2:M2"/>
    <mergeCell ref="A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J12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2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9" width="24" customWidth="1"/>
    <col min="10" max="10" width="34" customWidth="1"/>
  </cols>
  <sheetData>
    <row r="1" ht="28" customHeight="1" spans="1:10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</row>
    <row r="4" ht="26" customHeight="1" spans="1:10" x14ac:dyDescent="0.25">
      <c r="A4" s="6" t="s">
        <v>64</v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111</v>
      </c>
      <c r="J4" s="6" t="s">
        <v>112</v>
      </c>
    </row>
    <row r="5" ht="20" customHeight="1" spans="1:10" x14ac:dyDescent="0.25">
      <c r="A5" s="8">
        <v>1</v>
      </c>
      <c r="B5" s="8" t="s">
        <v>113</v>
      </c>
      <c r="C5" s="7" t="s">
        <v>11</v>
      </c>
      <c r="D5" s="8" t="s">
        <v>114</v>
      </c>
      <c r="E5" s="8">
        <v>44</v>
      </c>
      <c r="F5" s="8">
        <v>44</v>
      </c>
      <c r="G5" s="8">
        <v>0</v>
      </c>
      <c r="H5" s="8" t="s">
        <v>115</v>
      </c>
      <c r="I5" s="8" t="s">
        <v>116</v>
      </c>
      <c r="J5" s="7" t="s">
        <v>117</v>
      </c>
    </row>
    <row r="6" ht="20" customHeight="1" spans="1:10" x14ac:dyDescent="0.25">
      <c r="A6" s="8">
        <v>2</v>
      </c>
      <c r="B6" s="8" t="s">
        <v>118</v>
      </c>
      <c r="C6" s="7" t="s">
        <v>119</v>
      </c>
      <c r="D6" s="8" t="s">
        <v>120</v>
      </c>
      <c r="E6" s="8">
        <v>44</v>
      </c>
      <c r="F6" s="8">
        <v>44</v>
      </c>
      <c r="G6" s="8">
        <v>0</v>
      </c>
      <c r="H6" s="8" t="s">
        <v>115</v>
      </c>
      <c r="I6" s="8" t="s">
        <v>121</v>
      </c>
      <c r="J6" s="7" t="s">
        <v>122</v>
      </c>
    </row>
    <row r="7" ht="20" customHeight="1" spans="1:10" x14ac:dyDescent="0.25">
      <c r="A7" s="8">
        <v>3</v>
      </c>
      <c r="B7" s="8" t="s">
        <v>123</v>
      </c>
      <c r="C7" s="7" t="s">
        <v>124</v>
      </c>
      <c r="D7" s="8" t="s">
        <v>125</v>
      </c>
      <c r="E7" s="8">
        <v>44</v>
      </c>
      <c r="F7" s="8">
        <v>22</v>
      </c>
      <c r="G7" s="8">
        <v>22</v>
      </c>
      <c r="H7" s="8" t="s">
        <v>115</v>
      </c>
      <c r="I7" s="8" t="s">
        <v>121</v>
      </c>
      <c r="J7" s="7" t="s">
        <v>126</v>
      </c>
    </row>
    <row r="8" ht="20" customHeight="1" spans="1:10" x14ac:dyDescent="0.25">
      <c r="A8" s="8">
        <v>4</v>
      </c>
      <c r="B8" s="8" t="s">
        <v>127</v>
      </c>
      <c r="C8" s="7" t="s">
        <v>128</v>
      </c>
      <c r="D8" s="8" t="s">
        <v>129</v>
      </c>
      <c r="E8" s="8">
        <v>30</v>
      </c>
      <c r="F8" s="8">
        <v>30</v>
      </c>
      <c r="G8" s="8">
        <v>0</v>
      </c>
      <c r="H8" s="8" t="s">
        <v>115</v>
      </c>
      <c r="I8" s="8" t="s">
        <v>130</v>
      </c>
      <c r="J8" s="7" t="s">
        <v>131</v>
      </c>
    </row>
    <row r="9" ht="20" customHeight="1" spans="1:10" x14ac:dyDescent="0.25">
      <c r="A9" s="8">
        <v>5</v>
      </c>
      <c r="B9" s="8" t="s">
        <v>132</v>
      </c>
      <c r="C9" s="7" t="s">
        <v>133</v>
      </c>
      <c r="D9" s="8" t="s">
        <v>134</v>
      </c>
      <c r="E9" s="8">
        <v>44</v>
      </c>
      <c r="F9" s="8">
        <v>44</v>
      </c>
      <c r="G9" s="8">
        <v>0</v>
      </c>
      <c r="H9" s="8" t="s">
        <v>135</v>
      </c>
      <c r="I9" s="8" t="s">
        <v>130</v>
      </c>
      <c r="J9" s="7" t="s">
        <v>136</v>
      </c>
    </row>
    <row r="10" ht="20" customHeight="1" spans="1:10" x14ac:dyDescent="0.25">
      <c r="A10" s="8">
        <v>6</v>
      </c>
      <c r="B10" s="8" t="s">
        <v>137</v>
      </c>
      <c r="C10" s="7" t="s">
        <v>138</v>
      </c>
      <c r="D10" s="8" t="s">
        <v>139</v>
      </c>
      <c r="E10" s="8">
        <v>30</v>
      </c>
      <c r="F10" s="8">
        <v>30</v>
      </c>
      <c r="G10" s="8">
        <v>0</v>
      </c>
      <c r="H10" s="8" t="s">
        <v>115</v>
      </c>
      <c r="I10" s="8" t="s">
        <v>121</v>
      </c>
      <c r="J10" s="7" t="s">
        <v>140</v>
      </c>
    </row>
    <row r="11" ht="20" customHeight="1" spans="1:10" x14ac:dyDescent="0.25">
      <c r="A11" s="8">
        <v>7</v>
      </c>
      <c r="B11" s="8" t="s">
        <v>141</v>
      </c>
      <c r="C11" s="7" t="s">
        <v>142</v>
      </c>
      <c r="D11" s="8" t="s">
        <v>143</v>
      </c>
      <c r="E11" s="8">
        <v>30</v>
      </c>
      <c r="F11" s="8">
        <v>30</v>
      </c>
      <c r="G11" s="8">
        <v>0</v>
      </c>
      <c r="H11" s="8" t="s">
        <v>115</v>
      </c>
      <c r="I11" s="8" t="s">
        <v>130</v>
      </c>
      <c r="J11" s="7" t="s">
        <v>144</v>
      </c>
    </row>
    <row r="12" spans="1:10" x14ac:dyDescent="0.25">
      <c r="A12" s="11" t="s">
        <v>145</v>
      </c>
      <c r="B12" s="11"/>
      <c r="C12" s="11"/>
      <c r="D12" s="11"/>
      <c r="E12" s="11">
        <f>SUM(E5:E11)</f>
      </c>
      <c r="F12" s="11">
        <f>SUM(F5:F11)</f>
      </c>
      <c r="G12" s="11">
        <f>SUM(G5:G11)</f>
      </c>
      <c r="H12" s="11" t="s">
        <v>146</v>
      </c>
      <c r="I12" s="11" t="s">
        <v>146</v>
      </c>
      <c r="J12" s="11" t="s">
        <v>147</v>
      </c>
    </row>
  </sheetData>
  <mergeCells count="3">
    <mergeCell ref="A1:J1"/>
    <mergeCell ref="A2:J2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AC25"/>
  <sheetViews>
    <sheetView workbookViewId="0"/>
  </sheetViews>
  <sheetFormatPr defaultRowHeight="15" outlineLevelRow="0" outlineLevelCol="0" x14ac:dyDescent="55"/>
  <cols>
    <col min="1" max="1" width="4" customWidth="1"/>
    <col min="2" max="2" width="15" customWidth="1"/>
    <col min="3" max="3" width="30" customWidth="1"/>
    <col min="4" max="4" width="10" customWidth="1"/>
    <col min="5" max="5" width="22" customWidth="1"/>
    <col min="6" max="6" width="14" customWidth="1"/>
    <col min="7" max="7" width="12" customWidth="1"/>
    <col min="8" max="8" width="32" customWidth="1"/>
    <col min="9" max="22" width="7.5" customWidth="1"/>
    <col min="23" max="24" width="12" customWidth="1"/>
    <col min="25" max="26" width="13" customWidth="1"/>
    <col min="27" max="27" width="15" customWidth="1"/>
    <col min="28" max="28" width="18" customWidth="1"/>
    <col min="29" max="29" width="26" customWidth="1"/>
  </cols>
  <sheetData>
    <row r="1" ht="28" customHeight="1" spans="1:29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 x14ac:dyDescent="0.25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ht="20" customHeight="1" spans="1:29" x14ac:dyDescent="0.25">
      <c r="A4" s="19" t="s">
        <v>150</v>
      </c>
      <c r="B4" s="19"/>
      <c r="C4" s="19"/>
      <c r="D4" s="19"/>
      <c r="E4" s="19"/>
      <c r="F4" s="19"/>
      <c r="G4" s="19"/>
      <c r="H4" s="19"/>
      <c r="I4" s="20" t="s">
        <v>151</v>
      </c>
      <c r="J4" s="20"/>
      <c r="K4" s="20"/>
      <c r="L4" s="20"/>
      <c r="M4" s="20"/>
      <c r="N4" s="20"/>
      <c r="O4" s="21" t="s">
        <v>152</v>
      </c>
      <c r="P4" s="21"/>
      <c r="Q4" s="21"/>
      <c r="R4" s="21"/>
      <c r="S4" s="21"/>
      <c r="T4" s="21"/>
      <c r="U4" s="21"/>
      <c r="V4" s="21"/>
      <c r="W4" s="19" t="s">
        <v>153</v>
      </c>
      <c r="X4" s="19"/>
      <c r="Y4" s="19"/>
      <c r="Z4" s="19"/>
      <c r="AA4" s="19"/>
      <c r="AB4" s="19"/>
      <c r="AC4" s="19"/>
    </row>
    <row r="5" ht="28" customHeight="1" spans="1:29" x14ac:dyDescent="0.25">
      <c r="A5" s="16" t="s">
        <v>64</v>
      </c>
      <c r="B5" s="16" t="s">
        <v>154</v>
      </c>
      <c r="C5" s="16" t="s">
        <v>105</v>
      </c>
      <c r="D5" s="16" t="s">
        <v>155</v>
      </c>
      <c r="E5" s="16" t="s">
        <v>156</v>
      </c>
      <c r="F5" s="16" t="s">
        <v>157</v>
      </c>
      <c r="G5" s="16" t="s">
        <v>158</v>
      </c>
      <c r="H5" s="16" t="s">
        <v>159</v>
      </c>
      <c r="I5" s="22" t="s">
        <v>160</v>
      </c>
      <c r="J5" s="22" t="s">
        <v>161</v>
      </c>
      <c r="K5" s="22" t="s">
        <v>162</v>
      </c>
      <c r="L5" s="22" t="s">
        <v>163</v>
      </c>
      <c r="M5" s="22" t="s">
        <v>164</v>
      </c>
      <c r="N5" s="22" t="s">
        <v>165</v>
      </c>
      <c r="O5" s="23" t="s">
        <v>166</v>
      </c>
      <c r="P5" s="23" t="s">
        <v>167</v>
      </c>
      <c r="Q5" s="23" t="s">
        <v>168</v>
      </c>
      <c r="R5" s="23" t="s">
        <v>169</v>
      </c>
      <c r="S5" s="23" t="s">
        <v>170</v>
      </c>
      <c r="T5" s="23" t="s">
        <v>171</v>
      </c>
      <c r="U5" s="23" t="s">
        <v>172</v>
      </c>
      <c r="V5" s="23" t="s">
        <v>173</v>
      </c>
      <c r="W5" s="16" t="s">
        <v>22</v>
      </c>
      <c r="X5" s="16" t="s">
        <v>23</v>
      </c>
      <c r="Y5" s="16" t="s">
        <v>24</v>
      </c>
      <c r="Z5" s="16" t="s">
        <v>174</v>
      </c>
      <c r="AA5" s="16" t="s">
        <v>175</v>
      </c>
      <c r="AB5" s="16" t="s">
        <v>176</v>
      </c>
      <c r="AC5" s="16" t="s">
        <v>112</v>
      </c>
    </row>
    <row r="6" ht="19" customHeight="1" spans="1:29" x14ac:dyDescent="0.25">
      <c r="A6" s="8">
        <v>1</v>
      </c>
      <c r="B6" s="8" t="s">
        <v>177</v>
      </c>
      <c r="C6" s="7" t="s">
        <v>178</v>
      </c>
      <c r="D6" s="8" t="s">
        <v>121</v>
      </c>
      <c r="E6" s="8" t="s">
        <v>179</v>
      </c>
      <c r="F6" s="8">
        <v>44</v>
      </c>
      <c r="G6" s="8">
        <v>0</v>
      </c>
      <c r="H6" s="7" t="s">
        <v>180</v>
      </c>
      <c r="I6" s="8">
        <v>22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f>SUM(I6:N6)</f>
      </c>
      <c r="X6" s="8">
        <f>SUM(O6:V6)</f>
      </c>
      <c r="Y6" s="8">
        <v>0</v>
      </c>
      <c r="Z6" s="8">
        <f>W6+X6</f>
      </c>
      <c r="AA6" s="8">
        <f>ROUND((W6/0.60)*0.75 + (X6/0.65)*0.75 + Y6, 1)</f>
      </c>
      <c r="AB6" s="24" t="s">
        <v>181</v>
      </c>
      <c r="AC6" s="7" t="s">
        <v>182</v>
      </c>
    </row>
    <row r="7" ht="19" customHeight="1" spans="1:29" x14ac:dyDescent="0.25">
      <c r="A7" s="8">
        <v>2</v>
      </c>
      <c r="B7" s="8" t="s">
        <v>183</v>
      </c>
      <c r="C7" s="7" t="s">
        <v>184</v>
      </c>
      <c r="D7" s="8" t="s">
        <v>121</v>
      </c>
      <c r="E7" s="8" t="s">
        <v>179</v>
      </c>
      <c r="F7" s="8">
        <v>44</v>
      </c>
      <c r="G7" s="8">
        <v>0</v>
      </c>
      <c r="H7" s="7" t="s">
        <v>185</v>
      </c>
      <c r="I7" s="8">
        <v>0</v>
      </c>
      <c r="J7" s="8">
        <v>22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f>SUM(I7:N7)</f>
      </c>
      <c r="X7" s="8">
        <f>SUM(O7:V7)</f>
      </c>
      <c r="Y7" s="8">
        <v>0</v>
      </c>
      <c r="Z7" s="8">
        <f>W7+X7</f>
      </c>
      <c r="AA7" s="8">
        <f>ROUND((W7/0.60)*0.75 + (X7/0.65)*0.75 + Y7, 1)</f>
      </c>
      <c r="AB7" s="24" t="s">
        <v>181</v>
      </c>
      <c r="AC7" s="7" t="s">
        <v>186</v>
      </c>
    </row>
    <row r="8" ht="19" customHeight="1" spans="1:29" x14ac:dyDescent="0.25">
      <c r="A8" s="8">
        <v>3</v>
      </c>
      <c r="B8" s="8" t="s">
        <v>187</v>
      </c>
      <c r="C8" s="7" t="s">
        <v>188</v>
      </c>
      <c r="D8" s="8" t="s">
        <v>121</v>
      </c>
      <c r="E8" s="25" t="s">
        <v>189</v>
      </c>
      <c r="F8" s="8">
        <v>44</v>
      </c>
      <c r="G8" s="8">
        <v>0</v>
      </c>
      <c r="H8" s="7" t="s">
        <v>190</v>
      </c>
      <c r="I8" s="8">
        <v>0</v>
      </c>
      <c r="J8" s="8">
        <v>0</v>
      </c>
      <c r="K8" s="8">
        <v>26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f>SUM(I8:N8)</f>
      </c>
      <c r="X8" s="8">
        <f>SUM(O8:V8)</f>
      </c>
      <c r="Y8" s="8">
        <v>0</v>
      </c>
      <c r="Z8" s="8">
        <f>W8+X8</f>
      </c>
      <c r="AA8" s="8">
        <f>ROUND((W8/0.60)*0.75 + (X8/0.65)*0.75 + Y8, 1)</f>
      </c>
      <c r="AB8" s="24" t="s">
        <v>181</v>
      </c>
      <c r="AC8" s="7" t="s">
        <v>191</v>
      </c>
    </row>
    <row r="9" ht="19" customHeight="1" spans="1:29" x14ac:dyDescent="0.25">
      <c r="A9" s="8">
        <v>4</v>
      </c>
      <c r="B9" s="8" t="s">
        <v>192</v>
      </c>
      <c r="C9" s="7" t="s">
        <v>193</v>
      </c>
      <c r="D9" s="8" t="s">
        <v>121</v>
      </c>
      <c r="E9" s="25" t="s">
        <v>194</v>
      </c>
      <c r="F9" s="8">
        <v>44</v>
      </c>
      <c r="G9" s="8">
        <v>0</v>
      </c>
      <c r="H9" s="7" t="s">
        <v>195</v>
      </c>
      <c r="I9" s="8">
        <v>0</v>
      </c>
      <c r="J9" s="8">
        <v>0</v>
      </c>
      <c r="K9" s="8">
        <v>0</v>
      </c>
      <c r="L9" s="8">
        <v>26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f>SUM(I9:N9)</f>
      </c>
      <c r="X9" s="8">
        <f>SUM(O9:V9)</f>
      </c>
      <c r="Y9" s="8">
        <v>0</v>
      </c>
      <c r="Z9" s="8">
        <f>W9+X9</f>
      </c>
      <c r="AA9" s="8">
        <f>ROUND((W9/0.60)*0.75 + (X9/0.65)*0.75 + Y9, 1)</f>
      </c>
      <c r="AB9" s="24" t="s">
        <v>181</v>
      </c>
      <c r="AC9" s="7" t="s">
        <v>196</v>
      </c>
    </row>
    <row r="10" ht="19" customHeight="1" spans="1:29" x14ac:dyDescent="0.25">
      <c r="A10" s="8">
        <v>5</v>
      </c>
      <c r="B10" s="8" t="s">
        <v>197</v>
      </c>
      <c r="C10" s="7" t="s">
        <v>198</v>
      </c>
      <c r="D10" s="8" t="s">
        <v>121</v>
      </c>
      <c r="E10" s="25" t="s">
        <v>199</v>
      </c>
      <c r="F10" s="8">
        <v>44</v>
      </c>
      <c r="G10" s="8">
        <v>0</v>
      </c>
      <c r="H10" s="7" t="s">
        <v>200</v>
      </c>
      <c r="I10" s="8">
        <v>0</v>
      </c>
      <c r="J10" s="8">
        <v>0</v>
      </c>
      <c r="K10" s="8">
        <v>0</v>
      </c>
      <c r="L10" s="8">
        <v>0</v>
      </c>
      <c r="M10" s="8">
        <v>26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f>SUM(I10:N10)</f>
      </c>
      <c r="X10" s="8">
        <f>SUM(O10:V10)</f>
      </c>
      <c r="Y10" s="8">
        <v>0</v>
      </c>
      <c r="Z10" s="8">
        <f>W10+X10</f>
      </c>
      <c r="AA10" s="8">
        <f>ROUND((W10/0.60)*0.75 + (X10/0.65)*0.75 + Y10, 1)</f>
      </c>
      <c r="AB10" s="24" t="s">
        <v>181</v>
      </c>
      <c r="AC10" s="7" t="s">
        <v>201</v>
      </c>
    </row>
    <row r="11" ht="19" customHeight="1" spans="1:29" x14ac:dyDescent="0.25">
      <c r="A11" s="8">
        <v>6</v>
      </c>
      <c r="B11" s="8" t="s">
        <v>202</v>
      </c>
      <c r="C11" s="7" t="s">
        <v>203</v>
      </c>
      <c r="D11" s="8" t="s">
        <v>121</v>
      </c>
      <c r="E11" s="25" t="s">
        <v>204</v>
      </c>
      <c r="F11" s="8">
        <v>44</v>
      </c>
      <c r="G11" s="8">
        <v>0</v>
      </c>
      <c r="H11" s="7" t="s">
        <v>205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26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f>SUM(I11:N11)</f>
      </c>
      <c r="X11" s="8">
        <f>SUM(O11:V11)</f>
      </c>
      <c r="Y11" s="8">
        <v>0</v>
      </c>
      <c r="Z11" s="8">
        <f>W11+X11</f>
      </c>
      <c r="AA11" s="8">
        <f>ROUND((W11/0.60)*0.75 + (X11/0.65)*0.75 + Y11, 1)</f>
      </c>
      <c r="AB11" s="24" t="s">
        <v>181</v>
      </c>
      <c r="AC11" s="7" t="s">
        <v>206</v>
      </c>
    </row>
    <row r="12" ht="19" customHeight="1" spans="1:29" x14ac:dyDescent="0.25">
      <c r="A12" s="8">
        <v>7</v>
      </c>
      <c r="B12" s="8" t="s">
        <v>207</v>
      </c>
      <c r="C12" s="7" t="s">
        <v>208</v>
      </c>
      <c r="D12" s="8" t="s">
        <v>121</v>
      </c>
      <c r="E12" s="25" t="s">
        <v>209</v>
      </c>
      <c r="F12" s="8">
        <v>44</v>
      </c>
      <c r="G12" s="8">
        <v>0</v>
      </c>
      <c r="H12" s="7" t="s">
        <v>210</v>
      </c>
      <c r="I12" s="8">
        <v>0</v>
      </c>
      <c r="J12" s="8">
        <v>0</v>
      </c>
      <c r="K12" s="8">
        <v>2</v>
      </c>
      <c r="L12" s="8">
        <v>2</v>
      </c>
      <c r="M12" s="8">
        <v>2</v>
      </c>
      <c r="N12" s="8">
        <v>2</v>
      </c>
      <c r="O12" s="8">
        <v>3</v>
      </c>
      <c r="P12" s="8">
        <v>3</v>
      </c>
      <c r="Q12" s="8">
        <v>3</v>
      </c>
      <c r="R12" s="8">
        <v>3</v>
      </c>
      <c r="S12" s="8">
        <v>3</v>
      </c>
      <c r="T12" s="8">
        <v>3</v>
      </c>
      <c r="U12" s="8">
        <v>0</v>
      </c>
      <c r="V12" s="8">
        <v>0</v>
      </c>
      <c r="W12" s="8">
        <f>SUM(I12:N12)</f>
      </c>
      <c r="X12" s="8">
        <f>SUM(O12:V12)</f>
      </c>
      <c r="Y12" s="8">
        <v>0</v>
      </c>
      <c r="Z12" s="8">
        <f>W12+X12</f>
      </c>
      <c r="AA12" s="8">
        <f>ROUND((W12/0.60)*0.75 + (X12/0.65)*0.75 + Y12, 1)</f>
      </c>
      <c r="AB12" s="24" t="s">
        <v>211</v>
      </c>
      <c r="AC12" s="7" t="s">
        <v>212</v>
      </c>
    </row>
    <row r="13" ht="19" customHeight="1" spans="1:29" x14ac:dyDescent="0.25">
      <c r="A13" s="8">
        <v>8</v>
      </c>
      <c r="B13" s="8" t="s">
        <v>213</v>
      </c>
      <c r="C13" s="7" t="s">
        <v>214</v>
      </c>
      <c r="D13" s="8" t="s">
        <v>130</v>
      </c>
      <c r="E13" s="25" t="s">
        <v>209</v>
      </c>
      <c r="F13" s="8">
        <v>44</v>
      </c>
      <c r="G13" s="8">
        <v>0</v>
      </c>
      <c r="H13" s="7" t="s">
        <v>215</v>
      </c>
      <c r="I13" s="8">
        <v>0</v>
      </c>
      <c r="J13" s="8">
        <v>0</v>
      </c>
      <c r="K13" s="8">
        <v>4</v>
      </c>
      <c r="L13" s="8">
        <v>4</v>
      </c>
      <c r="M13" s="8">
        <v>4</v>
      </c>
      <c r="N13" s="8">
        <v>4</v>
      </c>
      <c r="O13" s="8">
        <v>2</v>
      </c>
      <c r="P13" s="8">
        <v>2</v>
      </c>
      <c r="Q13" s="8">
        <v>2</v>
      </c>
      <c r="R13" s="8">
        <v>2</v>
      </c>
      <c r="S13" s="8">
        <v>2</v>
      </c>
      <c r="T13" s="8">
        <v>2</v>
      </c>
      <c r="U13" s="8">
        <v>0</v>
      </c>
      <c r="V13" s="8">
        <v>0</v>
      </c>
      <c r="W13" s="8">
        <f>SUM(I13:N13)</f>
      </c>
      <c r="X13" s="8">
        <f>SUM(O13:V13)</f>
      </c>
      <c r="Y13" s="8">
        <v>0</v>
      </c>
      <c r="Z13" s="8">
        <f>W13+X13</f>
      </c>
      <c r="AA13" s="8">
        <f>ROUND((W13/0.60)*0.75 + (X13/0.65)*0.75 + Y13, 1)</f>
      </c>
      <c r="AB13" s="24" t="s">
        <v>211</v>
      </c>
      <c r="AC13" s="7" t="s">
        <v>216</v>
      </c>
    </row>
    <row r="14" ht="19" customHeight="1" spans="1:29" x14ac:dyDescent="0.25">
      <c r="A14" s="8">
        <v>9</v>
      </c>
      <c r="B14" s="8" t="s">
        <v>217</v>
      </c>
      <c r="C14" s="7" t="s">
        <v>218</v>
      </c>
      <c r="D14" s="8" t="s">
        <v>121</v>
      </c>
      <c r="E14" s="25" t="s">
        <v>209</v>
      </c>
      <c r="F14" s="8">
        <v>44</v>
      </c>
      <c r="G14" s="8">
        <v>0</v>
      </c>
      <c r="H14" s="7" t="s">
        <v>219</v>
      </c>
      <c r="I14" s="8">
        <v>0</v>
      </c>
      <c r="J14" s="8">
        <v>0</v>
      </c>
      <c r="K14" s="8">
        <v>4</v>
      </c>
      <c r="L14" s="8">
        <v>4</v>
      </c>
      <c r="M14" s="8">
        <v>4</v>
      </c>
      <c r="N14" s="8">
        <v>4</v>
      </c>
      <c r="O14" s="8">
        <v>4</v>
      </c>
      <c r="P14" s="8">
        <v>4</v>
      </c>
      <c r="Q14" s="8">
        <v>3</v>
      </c>
      <c r="R14" s="8">
        <v>3</v>
      </c>
      <c r="S14" s="8">
        <v>0</v>
      </c>
      <c r="T14" s="8">
        <v>0</v>
      </c>
      <c r="U14" s="8">
        <v>0</v>
      </c>
      <c r="V14" s="8">
        <v>0</v>
      </c>
      <c r="W14" s="8">
        <f>SUM(I14:N14)</f>
      </c>
      <c r="X14" s="8">
        <f>SUM(O14:V14)</f>
      </c>
      <c r="Y14" s="8">
        <v>0</v>
      </c>
      <c r="Z14" s="8">
        <f>W14+X14</f>
      </c>
      <c r="AA14" s="8">
        <f>ROUND((W14/0.60)*0.75 + (X14/0.65)*0.75 + Y14, 1)</f>
      </c>
      <c r="AB14" s="24" t="s">
        <v>211</v>
      </c>
      <c r="AC14" s="7" t="s">
        <v>216</v>
      </c>
    </row>
    <row r="15" ht="19" customHeight="1" spans="1:29" x14ac:dyDescent="0.25">
      <c r="A15" s="8">
        <v>10</v>
      </c>
      <c r="B15" s="8" t="s">
        <v>220</v>
      </c>
      <c r="C15" s="7" t="s">
        <v>221</v>
      </c>
      <c r="D15" s="8" t="s">
        <v>121</v>
      </c>
      <c r="E15" s="25" t="s">
        <v>222</v>
      </c>
      <c r="F15" s="8">
        <v>44</v>
      </c>
      <c r="G15" s="8">
        <v>0</v>
      </c>
      <c r="H15" s="7" t="s">
        <v>223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6</v>
      </c>
      <c r="P15" s="8">
        <v>6</v>
      </c>
      <c r="Q15" s="8">
        <v>6</v>
      </c>
      <c r="R15" s="8">
        <v>6</v>
      </c>
      <c r="S15" s="8">
        <v>0</v>
      </c>
      <c r="T15" s="8">
        <v>0</v>
      </c>
      <c r="U15" s="8">
        <v>0</v>
      </c>
      <c r="V15" s="8">
        <v>0</v>
      </c>
      <c r="W15" s="8">
        <f>SUM(I15:N15)</f>
      </c>
      <c r="X15" s="8">
        <f>SUM(O15:V15)</f>
      </c>
      <c r="Y15" s="8">
        <v>0</v>
      </c>
      <c r="Z15" s="8">
        <f>W15+X15</f>
      </c>
      <c r="AA15" s="8">
        <f>ROUND((W15/0.60)*0.75 + (X15/0.65)*0.75 + Y15, 1)</f>
      </c>
      <c r="AB15" s="24" t="s">
        <v>181</v>
      </c>
      <c r="AC15" s="7" t="s">
        <v>224</v>
      </c>
    </row>
    <row r="16" ht="19" customHeight="1" spans="1:29" x14ac:dyDescent="0.25">
      <c r="A16" s="8">
        <v>11</v>
      </c>
      <c r="B16" s="8" t="s">
        <v>225</v>
      </c>
      <c r="C16" s="7" t="s">
        <v>226</v>
      </c>
      <c r="D16" s="8" t="s">
        <v>121</v>
      </c>
      <c r="E16" s="25" t="s">
        <v>222</v>
      </c>
      <c r="F16" s="8">
        <v>44</v>
      </c>
      <c r="G16" s="8">
        <v>0</v>
      </c>
      <c r="H16" s="7" t="s">
        <v>227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6</v>
      </c>
      <c r="P16" s="8">
        <v>6</v>
      </c>
      <c r="Q16" s="8">
        <v>6</v>
      </c>
      <c r="R16" s="8">
        <v>6</v>
      </c>
      <c r="S16" s="8">
        <v>0</v>
      </c>
      <c r="T16" s="8">
        <v>0</v>
      </c>
      <c r="U16" s="8">
        <v>0</v>
      </c>
      <c r="V16" s="8">
        <v>0</v>
      </c>
      <c r="W16" s="8">
        <f>SUM(I16:N16)</f>
      </c>
      <c r="X16" s="8">
        <f>SUM(O16:V16)</f>
      </c>
      <c r="Y16" s="8">
        <v>0</v>
      </c>
      <c r="Z16" s="8">
        <f>W16+X16</f>
      </c>
      <c r="AA16" s="8">
        <f>ROUND((W16/0.60)*0.75 + (X16/0.65)*0.75 + Y16, 1)</f>
      </c>
      <c r="AB16" s="24" t="s">
        <v>181</v>
      </c>
      <c r="AC16" s="7" t="s">
        <v>224</v>
      </c>
    </row>
    <row r="17" ht="19" customHeight="1" spans="1:29" x14ac:dyDescent="0.25">
      <c r="A17" s="8">
        <v>12</v>
      </c>
      <c r="B17" s="8" t="s">
        <v>228</v>
      </c>
      <c r="C17" s="7" t="s">
        <v>229</v>
      </c>
      <c r="D17" s="8" t="s">
        <v>121</v>
      </c>
      <c r="E17" s="25" t="s">
        <v>230</v>
      </c>
      <c r="F17" s="8">
        <v>44</v>
      </c>
      <c r="G17" s="8">
        <v>0</v>
      </c>
      <c r="H17" s="7" t="s">
        <v>231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4</v>
      </c>
      <c r="P17" s="8">
        <v>4</v>
      </c>
      <c r="Q17" s="8">
        <v>4</v>
      </c>
      <c r="R17" s="8">
        <v>4</v>
      </c>
      <c r="S17" s="8">
        <v>0</v>
      </c>
      <c r="T17" s="8">
        <v>0</v>
      </c>
      <c r="U17" s="8">
        <v>0</v>
      </c>
      <c r="V17" s="8">
        <v>0</v>
      </c>
      <c r="W17" s="8">
        <f>SUM(I17:N17)</f>
      </c>
      <c r="X17" s="8">
        <f>SUM(O17:V17)</f>
      </c>
      <c r="Y17" s="8">
        <v>8</v>
      </c>
      <c r="Z17" s="8">
        <f>W17+X17</f>
      </c>
      <c r="AA17" s="8">
        <f>ROUND((W17/0.60)*0.75 + (X17/0.65)*0.75 + Y17, 1)</f>
      </c>
      <c r="AB17" s="24" t="s">
        <v>232</v>
      </c>
      <c r="AC17" s="7" t="s">
        <v>233</v>
      </c>
    </row>
    <row r="18" ht="19" customHeight="1" spans="1:29" x14ac:dyDescent="0.25">
      <c r="A18" s="8">
        <v>13</v>
      </c>
      <c r="B18" s="8" t="s">
        <v>234</v>
      </c>
      <c r="C18" s="7" t="s">
        <v>235</v>
      </c>
      <c r="D18" s="8" t="s">
        <v>130</v>
      </c>
      <c r="E18" s="25" t="s">
        <v>236</v>
      </c>
      <c r="F18" s="8">
        <v>44</v>
      </c>
      <c r="G18" s="8">
        <v>0</v>
      </c>
      <c r="H18" s="7" t="s">
        <v>237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4</v>
      </c>
      <c r="P18" s="8">
        <v>4</v>
      </c>
      <c r="Q18" s="8">
        <v>4</v>
      </c>
      <c r="R18" s="8">
        <v>4</v>
      </c>
      <c r="S18" s="8">
        <v>4</v>
      </c>
      <c r="T18" s="8">
        <v>4</v>
      </c>
      <c r="U18" s="8">
        <v>0</v>
      </c>
      <c r="V18" s="8">
        <v>0</v>
      </c>
      <c r="W18" s="8">
        <f>SUM(I18:N18)</f>
      </c>
      <c r="X18" s="8">
        <f>SUM(O18:V18)</f>
      </c>
      <c r="Y18" s="8">
        <v>0</v>
      </c>
      <c r="Z18" s="8">
        <f>W18+X18</f>
      </c>
      <c r="AA18" s="8">
        <f>ROUND((W18/0.60)*0.75 + (X18/0.65)*0.75 + Y18, 1)</f>
      </c>
      <c r="AB18" s="24" t="s">
        <v>181</v>
      </c>
      <c r="AC18" s="7" t="s">
        <v>238</v>
      </c>
    </row>
    <row r="19" ht="19" customHeight="1" spans="1:29" x14ac:dyDescent="0.25">
      <c r="A19" s="8">
        <v>14</v>
      </c>
      <c r="B19" s="8" t="s">
        <v>123</v>
      </c>
      <c r="C19" s="7" t="s">
        <v>124</v>
      </c>
      <c r="D19" s="8" t="s">
        <v>121</v>
      </c>
      <c r="E19" s="25" t="s">
        <v>239</v>
      </c>
      <c r="F19" s="8">
        <v>44</v>
      </c>
      <c r="G19" s="8">
        <v>0</v>
      </c>
      <c r="H19" s="7" t="s">
        <v>240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6</v>
      </c>
      <c r="V19" s="8">
        <v>6</v>
      </c>
      <c r="W19" s="8">
        <f>SUM(I19:N19)</f>
      </c>
      <c r="X19" s="8">
        <f>SUM(O19:V19)</f>
      </c>
      <c r="Y19" s="8">
        <v>22</v>
      </c>
      <c r="Z19" s="8">
        <f>W19+X19</f>
      </c>
      <c r="AA19" s="8">
        <f>ROUND((W19/0.60)*0.75 + (X19/0.65)*0.75 + Y19, 1)</f>
      </c>
      <c r="AB19" s="24" t="s">
        <v>241</v>
      </c>
      <c r="AC19" s="7" t="s">
        <v>242</v>
      </c>
    </row>
    <row r="20" ht="19" customHeight="1" spans="1:29" x14ac:dyDescent="0.25">
      <c r="A20" s="8">
        <v>15</v>
      </c>
      <c r="B20" s="8" t="s">
        <v>243</v>
      </c>
      <c r="C20" s="7" t="s">
        <v>244</v>
      </c>
      <c r="D20" s="8" t="s">
        <v>121</v>
      </c>
      <c r="E20" s="25" t="s">
        <v>245</v>
      </c>
      <c r="F20" s="8">
        <v>44</v>
      </c>
      <c r="G20" s="8">
        <v>0</v>
      </c>
      <c r="H20" s="7" t="s">
        <v>246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6</v>
      </c>
      <c r="T20" s="8">
        <v>6</v>
      </c>
      <c r="U20" s="8">
        <v>0</v>
      </c>
      <c r="V20" s="8">
        <v>0</v>
      </c>
      <c r="W20" s="8">
        <f>SUM(I20:N20)</f>
      </c>
      <c r="X20" s="8">
        <f>SUM(O20:V20)</f>
      </c>
      <c r="Y20" s="8">
        <v>12</v>
      </c>
      <c r="Z20" s="8">
        <f>W20+X20</f>
      </c>
      <c r="AA20" s="8">
        <f>ROUND((W20/0.60)*0.75 + (X20/0.65)*0.75 + Y20, 1)</f>
      </c>
      <c r="AB20" s="24" t="s">
        <v>247</v>
      </c>
      <c r="AC20" s="7" t="s">
        <v>248</v>
      </c>
    </row>
    <row r="21" ht="19" customHeight="1" spans="1:29" x14ac:dyDescent="0.25">
      <c r="A21" s="8">
        <v>16</v>
      </c>
      <c r="B21" s="8" t="s">
        <v>249</v>
      </c>
      <c r="C21" s="7" t="s">
        <v>250</v>
      </c>
      <c r="D21" s="8" t="s">
        <v>121</v>
      </c>
      <c r="E21" s="25" t="s">
        <v>245</v>
      </c>
      <c r="F21" s="8">
        <v>44</v>
      </c>
      <c r="G21" s="8">
        <v>0</v>
      </c>
      <c r="H21" s="7" t="s">
        <v>251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7</v>
      </c>
      <c r="T21" s="8">
        <v>7</v>
      </c>
      <c r="U21" s="8">
        <v>6</v>
      </c>
      <c r="V21" s="8">
        <v>6</v>
      </c>
      <c r="W21" s="8">
        <f>SUM(I21:N21)</f>
      </c>
      <c r="X21" s="8">
        <f>SUM(O21:V21)</f>
      </c>
      <c r="Y21" s="8">
        <v>0</v>
      </c>
      <c r="Z21" s="8">
        <f>W21+X21</f>
      </c>
      <c r="AA21" s="8">
        <f>ROUND((W21/0.60)*0.75 + (X21/0.65)*0.75 + Y21, 1)</f>
      </c>
      <c r="AB21" s="24" t="s">
        <v>181</v>
      </c>
      <c r="AC21" s="7" t="s">
        <v>252</v>
      </c>
    </row>
    <row r="22" ht="19" customHeight="1" spans="1:29" x14ac:dyDescent="0.25">
      <c r="A22" s="8">
        <v>17</v>
      </c>
      <c r="B22" s="8" t="s">
        <v>253</v>
      </c>
      <c r="C22" s="7" t="s">
        <v>254</v>
      </c>
      <c r="D22" s="8" t="s">
        <v>121</v>
      </c>
      <c r="E22" s="25" t="s">
        <v>255</v>
      </c>
      <c r="F22" s="8">
        <v>44</v>
      </c>
      <c r="G22" s="8">
        <v>0</v>
      </c>
      <c r="H22" s="7" t="s">
        <v>256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6</v>
      </c>
      <c r="T22" s="8">
        <v>6</v>
      </c>
      <c r="U22" s="8">
        <v>6</v>
      </c>
      <c r="V22" s="8">
        <v>6</v>
      </c>
      <c r="W22" s="8">
        <f>SUM(I22:N22)</f>
      </c>
      <c r="X22" s="8">
        <f>SUM(O22:V22)</f>
      </c>
      <c r="Y22" s="8">
        <v>16</v>
      </c>
      <c r="Z22" s="8">
        <f>W22+X22</f>
      </c>
      <c r="AA22" s="8">
        <f>ROUND((W22/0.60)*0.75 + (X22/0.65)*0.75 + Y22, 1)</f>
      </c>
      <c r="AB22" s="24" t="s">
        <v>257</v>
      </c>
      <c r="AC22" s="7" t="s">
        <v>258</v>
      </c>
    </row>
    <row r="23" ht="19" customHeight="1" spans="1:29" x14ac:dyDescent="0.25">
      <c r="A23" s="8">
        <v>18</v>
      </c>
      <c r="B23" s="8" t="s">
        <v>259</v>
      </c>
      <c r="C23" s="7" t="s">
        <v>260</v>
      </c>
      <c r="D23" s="8" t="s">
        <v>130</v>
      </c>
      <c r="E23" s="25" t="s">
        <v>261</v>
      </c>
      <c r="F23" s="8">
        <v>44</v>
      </c>
      <c r="G23" s="8">
        <v>0</v>
      </c>
      <c r="H23" s="7" t="s">
        <v>262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12</v>
      </c>
      <c r="V23" s="8">
        <v>12</v>
      </c>
      <c r="W23" s="8">
        <f>SUM(I23:N23)</f>
      </c>
      <c r="X23" s="8">
        <f>SUM(O23:V23)</f>
      </c>
      <c r="Y23" s="8">
        <v>0</v>
      </c>
      <c r="Z23" s="8">
        <f>W23+X23</f>
      </c>
      <c r="AA23" s="8">
        <f>ROUND((W23/0.60)*0.75 + (X23/0.65)*0.75 + Y23, 1)</f>
      </c>
      <c r="AB23" s="24" t="s">
        <v>263</v>
      </c>
      <c r="AC23" s="7" t="s">
        <v>264</v>
      </c>
    </row>
    <row r="24" ht="19" customHeight="1" spans="1:29" x14ac:dyDescent="0.25">
      <c r="A24" s="8">
        <v>19</v>
      </c>
      <c r="B24" s="8" t="s">
        <v>265</v>
      </c>
      <c r="C24" s="7" t="s">
        <v>266</v>
      </c>
      <c r="D24" s="8" t="s">
        <v>130</v>
      </c>
      <c r="E24" s="25" t="s">
        <v>267</v>
      </c>
      <c r="F24" s="8">
        <v>30</v>
      </c>
      <c r="G24" s="8">
        <v>14</v>
      </c>
      <c r="H24" s="7" t="s">
        <v>268</v>
      </c>
      <c r="I24" s="8">
        <v>0</v>
      </c>
      <c r="J24" s="8">
        <v>0</v>
      </c>
      <c r="K24" s="8">
        <v>2</v>
      </c>
      <c r="L24" s="8">
        <v>2</v>
      </c>
      <c r="M24" s="8">
        <v>2</v>
      </c>
      <c r="N24" s="8">
        <v>2</v>
      </c>
      <c r="O24" s="8">
        <v>3</v>
      </c>
      <c r="P24" s="8">
        <v>3</v>
      </c>
      <c r="Q24" s="8">
        <v>4</v>
      </c>
      <c r="R24" s="8">
        <v>4</v>
      </c>
      <c r="S24" s="8">
        <v>0</v>
      </c>
      <c r="T24" s="8">
        <v>0</v>
      </c>
      <c r="U24" s="8">
        <v>0</v>
      </c>
      <c r="V24" s="8">
        <v>0</v>
      </c>
      <c r="W24" s="8">
        <f>SUM(I24:N24)</f>
      </c>
      <c r="X24" s="8">
        <f>SUM(O24:V24)</f>
      </c>
      <c r="Y24" s="8">
        <v>0</v>
      </c>
      <c r="Z24" s="8">
        <f>W24+X24</f>
      </c>
      <c r="AA24" s="8">
        <f>ROUND((W24/0.60)*0.75 + (X24/0.65)*0.75 + Y24, 1)</f>
      </c>
      <c r="AB24" s="24" t="s">
        <v>269</v>
      </c>
      <c r="AC24" s="7" t="s">
        <v>270</v>
      </c>
    </row>
    <row r="25" ht="22" customHeight="1" spans="1:29" x14ac:dyDescent="0.25">
      <c r="A25" s="11" t="s">
        <v>271</v>
      </c>
      <c r="B25" s="11"/>
      <c r="C25" s="11"/>
      <c r="D25" s="11"/>
      <c r="E25" s="11"/>
      <c r="F25" s="11"/>
      <c r="G25" s="11"/>
      <c r="H25" s="11"/>
      <c r="I25" s="11">
        <f>SUM(I6:I24)</f>
      </c>
      <c r="J25" s="11">
        <f>SUM(J6:J24)</f>
      </c>
      <c r="K25" s="11">
        <f>SUM(K6:K24)</f>
      </c>
      <c r="L25" s="11">
        <f>SUM(L6:L24)</f>
      </c>
      <c r="M25" s="11">
        <f>SUM(M6:M24)</f>
      </c>
      <c r="N25" s="11">
        <f>SUM(N6:N24)</f>
      </c>
      <c r="O25" s="11">
        <f>SUM(O6:O24)</f>
      </c>
      <c r="P25" s="11">
        <f>SUM(P6:P24)</f>
      </c>
      <c r="Q25" s="11">
        <f>SUM(Q6:Q24)</f>
      </c>
      <c r="R25" s="11">
        <f>SUM(R6:R24)</f>
      </c>
      <c r="S25" s="11">
        <f>SUM(S6:S24)</f>
      </c>
      <c r="T25" s="11">
        <f>SUM(T6:T24)</f>
      </c>
      <c r="U25" s="11">
        <f>SUM(U6:U24)</f>
      </c>
      <c r="V25" s="11">
        <f>SUM(V6:V24)</f>
      </c>
      <c r="W25" s="11">
        <f>SUM(W6:W24)</f>
      </c>
      <c r="X25" s="11">
        <f>SUM(X6:X24)</f>
      </c>
      <c r="Y25" s="11">
        <f>SUM(Y6:Y24)</f>
      </c>
      <c r="Z25" s="11">
        <f>SUM(Z6:Z24)</f>
      </c>
      <c r="AA25" s="11">
        <f>SUM(AA6:AA24)</f>
      </c>
      <c r="AB25" s="11" t="s">
        <v>272</v>
      </c>
      <c r="AC25" s="11" t="s">
        <v>273</v>
      </c>
    </row>
  </sheetData>
  <mergeCells count="7">
    <mergeCell ref="A1:AC1"/>
    <mergeCell ref="A2:AC2"/>
    <mergeCell ref="A4:H4"/>
    <mergeCell ref="I4:N4"/>
    <mergeCell ref="O4:V4"/>
    <mergeCell ref="W4:AC4"/>
    <mergeCell ref="A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I34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2" customWidth="1"/>
    <col min="4" max="4" width="24" customWidth="1"/>
    <col min="5" max="5" width="14" customWidth="1"/>
    <col min="6" max="6" width="30" customWidth="1"/>
    <col min="7" max="7" width="14" customWidth="1"/>
    <col min="8" max="8" width="22" customWidth="1"/>
    <col min="9" max="9" width="26" customWidth="1"/>
  </cols>
  <sheetData>
    <row r="1" ht="28" customHeight="1" spans="1:9" x14ac:dyDescent="0.25">
      <c r="A1" s="1" t="s">
        <v>274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275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6" t="s">
        <v>64</v>
      </c>
      <c r="B4" s="6" t="s">
        <v>276</v>
      </c>
      <c r="C4" s="6" t="s">
        <v>277</v>
      </c>
      <c r="D4" s="6" t="s">
        <v>278</v>
      </c>
      <c r="E4" s="6" t="s">
        <v>67</v>
      </c>
      <c r="F4" s="6" t="s">
        <v>279</v>
      </c>
      <c r="G4" s="6" t="s">
        <v>280</v>
      </c>
      <c r="H4" s="6" t="s">
        <v>110</v>
      </c>
      <c r="I4" s="6" t="s">
        <v>281</v>
      </c>
    </row>
    <row r="5" ht="19" customHeight="1" spans="1:9" x14ac:dyDescent="0.25">
      <c r="A5" s="8">
        <v>1</v>
      </c>
      <c r="B5" s="8" t="s">
        <v>177</v>
      </c>
      <c r="C5" s="7" t="s">
        <v>178</v>
      </c>
      <c r="D5" s="8" t="s">
        <v>77</v>
      </c>
      <c r="E5" s="17" t="s">
        <v>282</v>
      </c>
      <c r="F5" s="7" t="s">
        <v>283</v>
      </c>
      <c r="G5" s="8">
        <v>22</v>
      </c>
      <c r="H5" s="8" t="s">
        <v>115</v>
      </c>
      <c r="I5" s="7" t="s">
        <v>284</v>
      </c>
    </row>
    <row r="6" ht="19" customHeight="1" spans="1:9" x14ac:dyDescent="0.25">
      <c r="A6" s="8">
        <v>2</v>
      </c>
      <c r="B6" s="8" t="s">
        <v>183</v>
      </c>
      <c r="C6" s="7" t="s">
        <v>184</v>
      </c>
      <c r="D6" s="8" t="s">
        <v>82</v>
      </c>
      <c r="E6" s="17" t="s">
        <v>282</v>
      </c>
      <c r="F6" s="7" t="s">
        <v>283</v>
      </c>
      <c r="G6" s="8">
        <v>22</v>
      </c>
      <c r="H6" s="8" t="s">
        <v>115</v>
      </c>
      <c r="I6" s="7" t="s">
        <v>284</v>
      </c>
    </row>
    <row r="7" ht="19" customHeight="1" spans="1:9" x14ac:dyDescent="0.25">
      <c r="A7" s="8">
        <v>3</v>
      </c>
      <c r="B7" s="8" t="s">
        <v>187</v>
      </c>
      <c r="C7" s="7" t="s">
        <v>188</v>
      </c>
      <c r="D7" s="8" t="s">
        <v>285</v>
      </c>
      <c r="E7" s="17" t="s">
        <v>282</v>
      </c>
      <c r="F7" s="7" t="s">
        <v>286</v>
      </c>
      <c r="G7" s="8">
        <v>8</v>
      </c>
      <c r="H7" s="8" t="s">
        <v>115</v>
      </c>
      <c r="I7" s="7" t="s">
        <v>284</v>
      </c>
    </row>
    <row r="8" ht="19" customHeight="1" spans="1:9" x14ac:dyDescent="0.25">
      <c r="A8" s="8">
        <v>4</v>
      </c>
      <c r="B8" s="8" t="s">
        <v>187</v>
      </c>
      <c r="C8" s="7" t="s">
        <v>188</v>
      </c>
      <c r="D8" s="8" t="s">
        <v>285</v>
      </c>
      <c r="E8" s="17" t="s">
        <v>282</v>
      </c>
      <c r="F8" s="7" t="s">
        <v>287</v>
      </c>
      <c r="G8" s="8">
        <v>6</v>
      </c>
      <c r="H8" s="8" t="s">
        <v>115</v>
      </c>
      <c r="I8" s="7" t="s">
        <v>284</v>
      </c>
    </row>
    <row r="9" ht="19" customHeight="1" spans="1:9" x14ac:dyDescent="0.25">
      <c r="A9" s="8">
        <v>5</v>
      </c>
      <c r="B9" s="8" t="s">
        <v>187</v>
      </c>
      <c r="C9" s="7" t="s">
        <v>188</v>
      </c>
      <c r="D9" s="8" t="s">
        <v>285</v>
      </c>
      <c r="E9" s="17" t="s">
        <v>282</v>
      </c>
      <c r="F9" s="7" t="s">
        <v>288</v>
      </c>
      <c r="G9" s="8">
        <v>4</v>
      </c>
      <c r="H9" s="8" t="s">
        <v>115</v>
      </c>
      <c r="I9" s="7" t="s">
        <v>284</v>
      </c>
    </row>
    <row r="10" ht="19" customHeight="1" spans="1:9" x14ac:dyDescent="0.25">
      <c r="A10" s="8">
        <v>6</v>
      </c>
      <c r="B10" s="8" t="s">
        <v>187</v>
      </c>
      <c r="C10" s="7" t="s">
        <v>188</v>
      </c>
      <c r="D10" s="8" t="s">
        <v>285</v>
      </c>
      <c r="E10" s="17" t="s">
        <v>282</v>
      </c>
      <c r="F10" s="7" t="s">
        <v>289</v>
      </c>
      <c r="G10" s="8">
        <v>4</v>
      </c>
      <c r="H10" s="8" t="s">
        <v>115</v>
      </c>
      <c r="I10" s="7" t="s">
        <v>284</v>
      </c>
    </row>
    <row r="11" ht="19" customHeight="1" spans="1:9" x14ac:dyDescent="0.25">
      <c r="A11" s="8">
        <v>7</v>
      </c>
      <c r="B11" s="8" t="s">
        <v>187</v>
      </c>
      <c r="C11" s="7" t="s">
        <v>188</v>
      </c>
      <c r="D11" s="8" t="s">
        <v>285</v>
      </c>
      <c r="E11" s="17" t="s">
        <v>282</v>
      </c>
      <c r="F11" s="7" t="s">
        <v>290</v>
      </c>
      <c r="G11" s="8">
        <v>4</v>
      </c>
      <c r="H11" s="8" t="s">
        <v>115</v>
      </c>
      <c r="I11" s="7" t="s">
        <v>284</v>
      </c>
    </row>
    <row r="12" ht="19" customHeight="1" spans="1:9" x14ac:dyDescent="0.25">
      <c r="A12" s="8">
        <v>8</v>
      </c>
      <c r="B12" s="8" t="s">
        <v>207</v>
      </c>
      <c r="C12" s="7" t="s">
        <v>208</v>
      </c>
      <c r="D12" s="8" t="s">
        <v>285</v>
      </c>
      <c r="E12" s="17" t="s">
        <v>282</v>
      </c>
      <c r="F12" s="7" t="s">
        <v>291</v>
      </c>
      <c r="G12" s="8">
        <v>2</v>
      </c>
      <c r="H12" s="8" t="s">
        <v>115</v>
      </c>
      <c r="I12" s="7" t="s">
        <v>284</v>
      </c>
    </row>
    <row r="13" ht="19" customHeight="1" spans="1:9" x14ac:dyDescent="0.25">
      <c r="A13" s="8">
        <v>9</v>
      </c>
      <c r="B13" s="8" t="s">
        <v>207</v>
      </c>
      <c r="C13" s="7" t="s">
        <v>208</v>
      </c>
      <c r="D13" s="8" t="s">
        <v>292</v>
      </c>
      <c r="E13" s="17" t="s">
        <v>282</v>
      </c>
      <c r="F13" s="7" t="s">
        <v>291</v>
      </c>
      <c r="G13" s="8">
        <v>2</v>
      </c>
      <c r="H13" s="8" t="s">
        <v>115</v>
      </c>
      <c r="I13" s="7" t="s">
        <v>284</v>
      </c>
    </row>
    <row r="14" ht="19" customHeight="1" spans="1:9" x14ac:dyDescent="0.25">
      <c r="A14" s="8">
        <v>10</v>
      </c>
      <c r="B14" s="8" t="s">
        <v>207</v>
      </c>
      <c r="C14" s="7" t="s">
        <v>208</v>
      </c>
      <c r="D14" s="8" t="s">
        <v>293</v>
      </c>
      <c r="E14" s="17" t="s">
        <v>282</v>
      </c>
      <c r="F14" s="7" t="s">
        <v>291</v>
      </c>
      <c r="G14" s="8">
        <v>2</v>
      </c>
      <c r="H14" s="8" t="s">
        <v>115</v>
      </c>
      <c r="I14" s="7" t="s">
        <v>284</v>
      </c>
    </row>
    <row r="15" ht="19" customHeight="1" spans="1:9" x14ac:dyDescent="0.25">
      <c r="A15" s="8">
        <v>11</v>
      </c>
      <c r="B15" s="8" t="s">
        <v>207</v>
      </c>
      <c r="C15" s="7" t="s">
        <v>208</v>
      </c>
      <c r="D15" s="8" t="s">
        <v>294</v>
      </c>
      <c r="E15" s="17" t="s">
        <v>282</v>
      </c>
      <c r="F15" s="7" t="s">
        <v>291</v>
      </c>
      <c r="G15" s="8">
        <v>2</v>
      </c>
      <c r="H15" s="8" t="s">
        <v>115</v>
      </c>
      <c r="I15" s="7" t="s">
        <v>284</v>
      </c>
    </row>
    <row r="16" ht="19" customHeight="1" spans="1:9" x14ac:dyDescent="0.25">
      <c r="A16" s="8">
        <v>12</v>
      </c>
      <c r="B16" s="8" t="s">
        <v>207</v>
      </c>
      <c r="C16" s="7" t="s">
        <v>208</v>
      </c>
      <c r="D16" s="8" t="s">
        <v>295</v>
      </c>
      <c r="E16" s="18" t="s">
        <v>296</v>
      </c>
      <c r="F16" s="7" t="s">
        <v>291</v>
      </c>
      <c r="G16" s="8">
        <v>3</v>
      </c>
      <c r="H16" s="8" t="s">
        <v>115</v>
      </c>
      <c r="I16" s="7" t="s">
        <v>284</v>
      </c>
    </row>
    <row r="17" ht="19" customHeight="1" spans="1:9" x14ac:dyDescent="0.25">
      <c r="A17" s="8">
        <v>13</v>
      </c>
      <c r="B17" s="8" t="s">
        <v>207</v>
      </c>
      <c r="C17" s="7" t="s">
        <v>208</v>
      </c>
      <c r="D17" s="8" t="s">
        <v>297</v>
      </c>
      <c r="E17" s="18" t="s">
        <v>296</v>
      </c>
      <c r="F17" s="7" t="s">
        <v>291</v>
      </c>
      <c r="G17" s="8">
        <v>3</v>
      </c>
      <c r="H17" s="8" t="s">
        <v>115</v>
      </c>
      <c r="I17" s="7" t="s">
        <v>284</v>
      </c>
    </row>
    <row r="18" ht="19" customHeight="1" spans="1:9" x14ac:dyDescent="0.25">
      <c r="A18" s="8">
        <v>14</v>
      </c>
      <c r="B18" s="8" t="s">
        <v>207</v>
      </c>
      <c r="C18" s="7" t="s">
        <v>208</v>
      </c>
      <c r="D18" s="8" t="s">
        <v>298</v>
      </c>
      <c r="E18" s="18" t="s">
        <v>296</v>
      </c>
      <c r="F18" s="7" t="s">
        <v>291</v>
      </c>
      <c r="G18" s="8">
        <v>3</v>
      </c>
      <c r="H18" s="8" t="s">
        <v>115</v>
      </c>
      <c r="I18" s="7" t="s">
        <v>284</v>
      </c>
    </row>
    <row r="19" ht="19" customHeight="1" spans="1:9" x14ac:dyDescent="0.25">
      <c r="A19" s="8">
        <v>15</v>
      </c>
      <c r="B19" s="8" t="s">
        <v>207</v>
      </c>
      <c r="C19" s="7" t="s">
        <v>208</v>
      </c>
      <c r="D19" s="8" t="s">
        <v>299</v>
      </c>
      <c r="E19" s="18" t="s">
        <v>296</v>
      </c>
      <c r="F19" s="7" t="s">
        <v>291</v>
      </c>
      <c r="G19" s="8">
        <v>3</v>
      </c>
      <c r="H19" s="8" t="s">
        <v>115</v>
      </c>
      <c r="I19" s="7" t="s">
        <v>284</v>
      </c>
    </row>
    <row r="20" ht="19" customHeight="1" spans="1:9" x14ac:dyDescent="0.25">
      <c r="A20" s="8">
        <v>16</v>
      </c>
      <c r="B20" s="8" t="s">
        <v>207</v>
      </c>
      <c r="C20" s="7" t="s">
        <v>208</v>
      </c>
      <c r="D20" s="8" t="s">
        <v>300</v>
      </c>
      <c r="E20" s="18" t="s">
        <v>296</v>
      </c>
      <c r="F20" s="7" t="s">
        <v>291</v>
      </c>
      <c r="G20" s="8">
        <v>3</v>
      </c>
      <c r="H20" s="8" t="s">
        <v>115</v>
      </c>
      <c r="I20" s="7" t="s">
        <v>284</v>
      </c>
    </row>
    <row r="21" ht="19" customHeight="1" spans="1:9" x14ac:dyDescent="0.25">
      <c r="A21" s="8">
        <v>17</v>
      </c>
      <c r="B21" s="8" t="s">
        <v>207</v>
      </c>
      <c r="C21" s="7" t="s">
        <v>208</v>
      </c>
      <c r="D21" s="8" t="s">
        <v>301</v>
      </c>
      <c r="E21" s="18" t="s">
        <v>296</v>
      </c>
      <c r="F21" s="7" t="s">
        <v>291</v>
      </c>
      <c r="G21" s="8">
        <v>3</v>
      </c>
      <c r="H21" s="8" t="s">
        <v>115</v>
      </c>
      <c r="I21" s="7" t="s">
        <v>284</v>
      </c>
    </row>
    <row r="22" ht="19" customHeight="1" spans="1:9" x14ac:dyDescent="0.25">
      <c r="A22" s="8">
        <v>18</v>
      </c>
      <c r="B22" s="8" t="s">
        <v>213</v>
      </c>
      <c r="C22" s="7" t="s">
        <v>214</v>
      </c>
      <c r="D22" s="8" t="s">
        <v>285</v>
      </c>
      <c r="E22" s="17" t="s">
        <v>282</v>
      </c>
      <c r="F22" s="7" t="s">
        <v>302</v>
      </c>
      <c r="G22" s="8">
        <v>4</v>
      </c>
      <c r="H22" s="8" t="s">
        <v>115</v>
      </c>
      <c r="I22" s="7" t="s">
        <v>284</v>
      </c>
    </row>
    <row r="23" ht="19" customHeight="1" spans="1:9" x14ac:dyDescent="0.25">
      <c r="A23" s="8">
        <v>19</v>
      </c>
      <c r="B23" s="8" t="s">
        <v>213</v>
      </c>
      <c r="C23" s="7" t="s">
        <v>214</v>
      </c>
      <c r="D23" s="8" t="s">
        <v>292</v>
      </c>
      <c r="E23" s="17" t="s">
        <v>282</v>
      </c>
      <c r="F23" s="7" t="s">
        <v>302</v>
      </c>
      <c r="G23" s="8">
        <v>4</v>
      </c>
      <c r="H23" s="8" t="s">
        <v>115</v>
      </c>
      <c r="I23" s="7" t="s">
        <v>284</v>
      </c>
    </row>
    <row r="24" ht="19" customHeight="1" spans="1:9" x14ac:dyDescent="0.25">
      <c r="A24" s="8">
        <v>20</v>
      </c>
      <c r="B24" s="8" t="s">
        <v>213</v>
      </c>
      <c r="C24" s="7" t="s">
        <v>214</v>
      </c>
      <c r="D24" s="8" t="s">
        <v>295</v>
      </c>
      <c r="E24" s="18" t="s">
        <v>296</v>
      </c>
      <c r="F24" s="7" t="s">
        <v>302</v>
      </c>
      <c r="G24" s="8">
        <v>2</v>
      </c>
      <c r="H24" s="8" t="s">
        <v>115</v>
      </c>
      <c r="I24" s="7" t="s">
        <v>284</v>
      </c>
    </row>
    <row r="25" ht="19" customHeight="1" spans="1:9" x14ac:dyDescent="0.25">
      <c r="A25" s="8">
        <v>21</v>
      </c>
      <c r="B25" s="8" t="s">
        <v>213</v>
      </c>
      <c r="C25" s="7" t="s">
        <v>214</v>
      </c>
      <c r="D25" s="8" t="s">
        <v>300</v>
      </c>
      <c r="E25" s="18" t="s">
        <v>296</v>
      </c>
      <c r="F25" s="7" t="s">
        <v>302</v>
      </c>
      <c r="G25" s="8">
        <v>2</v>
      </c>
      <c r="H25" s="8" t="s">
        <v>115</v>
      </c>
      <c r="I25" s="7" t="s">
        <v>284</v>
      </c>
    </row>
    <row r="26" ht="19" customHeight="1" spans="1:9" x14ac:dyDescent="0.25">
      <c r="A26" s="8">
        <v>22</v>
      </c>
      <c r="B26" s="8" t="s">
        <v>228</v>
      </c>
      <c r="C26" s="7" t="s">
        <v>229</v>
      </c>
      <c r="D26" s="8" t="s">
        <v>295</v>
      </c>
      <c r="E26" s="18" t="s">
        <v>296</v>
      </c>
      <c r="F26" s="7" t="s">
        <v>288</v>
      </c>
      <c r="G26" s="8">
        <v>4</v>
      </c>
      <c r="H26" s="8" t="s">
        <v>115</v>
      </c>
      <c r="I26" s="7" t="s">
        <v>284</v>
      </c>
    </row>
    <row r="27" ht="19" customHeight="1" spans="1:9" x14ac:dyDescent="0.25">
      <c r="A27" s="8">
        <v>23</v>
      </c>
      <c r="B27" s="8" t="s">
        <v>228</v>
      </c>
      <c r="C27" s="7" t="s">
        <v>229</v>
      </c>
      <c r="D27" s="8" t="s">
        <v>297</v>
      </c>
      <c r="E27" s="18" t="s">
        <v>296</v>
      </c>
      <c r="F27" s="7" t="s">
        <v>288</v>
      </c>
      <c r="G27" s="8">
        <v>4</v>
      </c>
      <c r="H27" s="8" t="s">
        <v>115</v>
      </c>
      <c r="I27" s="7" t="s">
        <v>284</v>
      </c>
    </row>
    <row r="28" ht="19" customHeight="1" spans="1:9" x14ac:dyDescent="0.25">
      <c r="A28" s="8">
        <v>24</v>
      </c>
      <c r="B28" s="8" t="s">
        <v>228</v>
      </c>
      <c r="C28" s="7" t="s">
        <v>229</v>
      </c>
      <c r="D28" s="8" t="s">
        <v>298</v>
      </c>
      <c r="E28" s="18" t="s">
        <v>296</v>
      </c>
      <c r="F28" s="7" t="s">
        <v>288</v>
      </c>
      <c r="G28" s="8">
        <v>4</v>
      </c>
      <c r="H28" s="8" t="s">
        <v>115</v>
      </c>
      <c r="I28" s="7" t="s">
        <v>284</v>
      </c>
    </row>
    <row r="29" ht="19" customHeight="1" spans="1:9" x14ac:dyDescent="0.25">
      <c r="A29" s="8">
        <v>25</v>
      </c>
      <c r="B29" s="8" t="s">
        <v>228</v>
      </c>
      <c r="C29" s="7" t="s">
        <v>229</v>
      </c>
      <c r="D29" s="8" t="s">
        <v>299</v>
      </c>
      <c r="E29" s="18" t="s">
        <v>296</v>
      </c>
      <c r="F29" s="7" t="s">
        <v>288</v>
      </c>
      <c r="G29" s="8">
        <v>4</v>
      </c>
      <c r="H29" s="8" t="s">
        <v>115</v>
      </c>
      <c r="I29" s="7" t="s">
        <v>284</v>
      </c>
    </row>
    <row r="30" ht="19" customHeight="1" spans="1:9" x14ac:dyDescent="0.25">
      <c r="A30" s="8">
        <v>26</v>
      </c>
      <c r="B30" s="8" t="s">
        <v>228</v>
      </c>
      <c r="C30" s="7" t="s">
        <v>229</v>
      </c>
      <c r="D30" s="8" t="s">
        <v>298</v>
      </c>
      <c r="E30" s="18" t="s">
        <v>296</v>
      </c>
      <c r="F30" s="7" t="s">
        <v>303</v>
      </c>
      <c r="G30" s="8">
        <v>4</v>
      </c>
      <c r="H30" s="8" t="s">
        <v>135</v>
      </c>
      <c r="I30" s="7" t="s">
        <v>304</v>
      </c>
    </row>
    <row r="31" ht="19" customHeight="1" spans="1:9" x14ac:dyDescent="0.25">
      <c r="A31" s="8">
        <v>27</v>
      </c>
      <c r="B31" s="8" t="s">
        <v>228</v>
      </c>
      <c r="C31" s="7" t="s">
        <v>229</v>
      </c>
      <c r="D31" s="8" t="s">
        <v>299</v>
      </c>
      <c r="E31" s="18" t="s">
        <v>296</v>
      </c>
      <c r="F31" s="7" t="s">
        <v>303</v>
      </c>
      <c r="G31" s="8">
        <v>4</v>
      </c>
      <c r="H31" s="8" t="s">
        <v>135</v>
      </c>
      <c r="I31" s="7" t="s">
        <v>304</v>
      </c>
    </row>
    <row r="32" ht="19" customHeight="1" spans="1:9" x14ac:dyDescent="0.25">
      <c r="A32" s="8">
        <v>28</v>
      </c>
      <c r="B32" s="8" t="s">
        <v>259</v>
      </c>
      <c r="C32" s="7" t="s">
        <v>260</v>
      </c>
      <c r="D32" s="8" t="s">
        <v>97</v>
      </c>
      <c r="E32" s="18" t="s">
        <v>296</v>
      </c>
      <c r="F32" s="7" t="s">
        <v>305</v>
      </c>
      <c r="G32" s="8">
        <v>12</v>
      </c>
      <c r="H32" s="8" t="s">
        <v>115</v>
      </c>
      <c r="I32" s="7" t="s">
        <v>261</v>
      </c>
    </row>
    <row r="33" ht="19" customHeight="1" spans="1:9" x14ac:dyDescent="0.25">
      <c r="A33" s="8">
        <v>29</v>
      </c>
      <c r="B33" s="8" t="s">
        <v>259</v>
      </c>
      <c r="C33" s="7" t="s">
        <v>260</v>
      </c>
      <c r="D33" s="8" t="s">
        <v>99</v>
      </c>
      <c r="E33" s="18" t="s">
        <v>296</v>
      </c>
      <c r="F33" s="7" t="s">
        <v>305</v>
      </c>
      <c r="G33" s="8">
        <v>12</v>
      </c>
      <c r="H33" s="8" t="s">
        <v>115</v>
      </c>
      <c r="I33" s="7" t="s">
        <v>261</v>
      </c>
    </row>
    <row r="34" ht="22" customHeight="1" spans="1:9" x14ac:dyDescent="0.25">
      <c r="A34" s="11" t="s">
        <v>306</v>
      </c>
      <c r="B34" s="11"/>
      <c r="C34" s="11"/>
      <c r="D34" s="11"/>
      <c r="E34" s="11"/>
      <c r="F34" s="11"/>
      <c r="G34" s="11">
        <f>SUM(G5:G33)</f>
      </c>
      <c r="H34" s="11" t="s">
        <v>146</v>
      </c>
      <c r="I34" s="11" t="s">
        <v>307</v>
      </c>
    </row>
  </sheetData>
  <mergeCells count="3">
    <mergeCell ref="A1:I1"/>
    <mergeCell ref="A2:I2"/>
    <mergeCell ref="A34:F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A1:K19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2" customWidth="1"/>
    <col min="4" max="4" width="16" customWidth="1"/>
    <col min="5" max="6" width="18" customWidth="1"/>
    <col min="7" max="7" width="20" customWidth="1"/>
    <col min="8" max="8" width="18" customWidth="1"/>
    <col min="9" max="9" width="30" customWidth="1"/>
    <col min="10" max="10" width="24" customWidth="1"/>
    <col min="11" max="11" width="18" customWidth="1"/>
  </cols>
  <sheetData>
    <row r="1" ht="28" customHeight="1" spans="1:11" x14ac:dyDescent="0.25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309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25">
      <c r="A4" s="3" t="s">
        <v>310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24" customHeight="1" spans="1:11" x14ac:dyDescent="0.25">
      <c r="A5" s="6" t="s">
        <v>64</v>
      </c>
      <c r="B5" s="6" t="s">
        <v>104</v>
      </c>
      <c r="C5" s="6" t="s">
        <v>105</v>
      </c>
      <c r="D5" s="6" t="s">
        <v>311</v>
      </c>
      <c r="E5" s="6" t="s">
        <v>312</v>
      </c>
      <c r="F5" s="6" t="s">
        <v>313</v>
      </c>
      <c r="G5" s="6" t="s">
        <v>314</v>
      </c>
      <c r="H5" s="6" t="s">
        <v>315</v>
      </c>
      <c r="I5" s="6" t="s">
        <v>316</v>
      </c>
      <c r="J5" s="6" t="s">
        <v>317</v>
      </c>
      <c r="K5" s="6" t="s">
        <v>318</v>
      </c>
    </row>
    <row r="6" ht="20" customHeight="1" spans="1:11" x14ac:dyDescent="0.25">
      <c r="A6" s="8">
        <v>1</v>
      </c>
      <c r="B6" s="8" t="s">
        <v>319</v>
      </c>
      <c r="C6" s="7" t="s">
        <v>320</v>
      </c>
      <c r="D6" s="8">
        <v>44</v>
      </c>
      <c r="E6" s="8">
        <v>20</v>
      </c>
      <c r="F6" s="8">
        <v>16</v>
      </c>
      <c r="G6" s="8">
        <v>8</v>
      </c>
      <c r="H6" s="8">
        <f>SUM(E6:G6)</f>
      </c>
      <c r="I6" s="7" t="s">
        <v>321</v>
      </c>
      <c r="J6" s="8" t="s">
        <v>322</v>
      </c>
      <c r="K6" s="9" t="s">
        <v>181</v>
      </c>
    </row>
    <row r="7" ht="20" customHeight="1" spans="1:11" x14ac:dyDescent="0.25">
      <c r="A7" s="8">
        <v>2</v>
      </c>
      <c r="B7" s="8" t="s">
        <v>323</v>
      </c>
      <c r="C7" s="7" t="s">
        <v>324</v>
      </c>
      <c r="D7" s="8">
        <v>44</v>
      </c>
      <c r="E7" s="8">
        <v>20</v>
      </c>
      <c r="F7" s="8">
        <v>16</v>
      </c>
      <c r="G7" s="8">
        <v>8</v>
      </c>
      <c r="H7" s="8">
        <f>SUM(E7:G7)</f>
      </c>
      <c r="I7" s="7" t="s">
        <v>325</v>
      </c>
      <c r="J7" s="8" t="s">
        <v>322</v>
      </c>
      <c r="K7" s="9" t="s">
        <v>181</v>
      </c>
    </row>
    <row r="8" ht="20" customHeight="1" spans="1:11" x14ac:dyDescent="0.25">
      <c r="A8" s="8">
        <v>3</v>
      </c>
      <c r="B8" s="8" t="s">
        <v>326</v>
      </c>
      <c r="C8" s="7" t="s">
        <v>327</v>
      </c>
      <c r="D8" s="8">
        <v>44</v>
      </c>
      <c r="E8" s="8">
        <v>20</v>
      </c>
      <c r="F8" s="8">
        <v>16</v>
      </c>
      <c r="G8" s="8">
        <v>8</v>
      </c>
      <c r="H8" s="8">
        <f>SUM(E8:G8)</f>
      </c>
      <c r="I8" s="7" t="s">
        <v>328</v>
      </c>
      <c r="J8" s="8" t="s">
        <v>322</v>
      </c>
      <c r="K8" s="9" t="s">
        <v>181</v>
      </c>
    </row>
    <row r="9" ht="20" customHeight="1" spans="1:11" x14ac:dyDescent="0.25">
      <c r="A9" s="8">
        <v>4</v>
      </c>
      <c r="B9" s="8" t="s">
        <v>329</v>
      </c>
      <c r="C9" s="7" t="s">
        <v>330</v>
      </c>
      <c r="D9" s="8">
        <v>44</v>
      </c>
      <c r="E9" s="8">
        <v>20</v>
      </c>
      <c r="F9" s="8">
        <v>16</v>
      </c>
      <c r="G9" s="8">
        <v>8</v>
      </c>
      <c r="H9" s="8">
        <f>SUM(E9:G9)</f>
      </c>
      <c r="I9" s="7" t="s">
        <v>331</v>
      </c>
      <c r="J9" s="8" t="s">
        <v>322</v>
      </c>
      <c r="K9" s="9" t="s">
        <v>181</v>
      </c>
    </row>
    <row r="10" spans="1:11" x14ac:dyDescent="0.25">
      <c r="A10" s="11" t="s">
        <v>332</v>
      </c>
      <c r="B10" s="11"/>
      <c r="C10" s="11"/>
      <c r="D10" s="11">
        <f>SUM(D6:D9)</f>
      </c>
      <c r="E10" s="11">
        <f>SUM(E6:E9)</f>
      </c>
      <c r="F10" s="11">
        <f>SUM(F6:F9)</f>
      </c>
      <c r="G10" s="11">
        <f>SUM(G6:G9)</f>
      </c>
      <c r="H10" s="11">
        <f>SUM(H6:H9)</f>
      </c>
      <c r="I10" s="11" t="s">
        <v>146</v>
      </c>
      <c r="J10" s="11" t="s">
        <v>333</v>
      </c>
      <c r="K10" s="11" t="s">
        <v>334</v>
      </c>
    </row>
    <row r="12" spans="1:11" x14ac:dyDescent="0.25">
      <c r="A12" s="3" t="s">
        <v>335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4" customHeight="1" spans="1:11" x14ac:dyDescent="0.25">
      <c r="A13" s="12" t="s">
        <v>64</v>
      </c>
      <c r="B13" s="12" t="s">
        <v>104</v>
      </c>
      <c r="C13" s="12" t="s">
        <v>105</v>
      </c>
      <c r="D13" s="12" t="s">
        <v>336</v>
      </c>
      <c r="E13" s="12" t="s">
        <v>21</v>
      </c>
      <c r="F13" s="12" t="s">
        <v>337</v>
      </c>
      <c r="G13" s="12" t="s">
        <v>338</v>
      </c>
      <c r="H13" s="12" t="s">
        <v>111</v>
      </c>
      <c r="I13" s="12" t="s">
        <v>339</v>
      </c>
      <c r="J13" s="12" t="s">
        <v>340</v>
      </c>
      <c r="K13" s="12" t="s">
        <v>341</v>
      </c>
    </row>
    <row r="14" ht="20" customHeight="1" spans="1:11" x14ac:dyDescent="0.25">
      <c r="A14" s="8">
        <v>1</v>
      </c>
      <c r="B14" s="8" t="s">
        <v>342</v>
      </c>
      <c r="C14" s="7" t="s">
        <v>343</v>
      </c>
      <c r="D14" s="8" t="s">
        <v>344</v>
      </c>
      <c r="E14" s="8">
        <v>44</v>
      </c>
      <c r="F14" s="8" t="s">
        <v>345</v>
      </c>
      <c r="G14" s="8" t="s">
        <v>322</v>
      </c>
      <c r="H14" s="8" t="s">
        <v>130</v>
      </c>
      <c r="I14" s="7" t="s">
        <v>346</v>
      </c>
      <c r="J14" s="8" t="s">
        <v>347</v>
      </c>
      <c r="K14" s="9" t="s">
        <v>348</v>
      </c>
    </row>
    <row r="15" ht="20" customHeight="1" spans="1:11" x14ac:dyDescent="0.25">
      <c r="A15" s="8">
        <v>2</v>
      </c>
      <c r="B15" s="8" t="s">
        <v>349</v>
      </c>
      <c r="C15" s="7" t="s">
        <v>350</v>
      </c>
      <c r="D15" s="8" t="s">
        <v>351</v>
      </c>
      <c r="E15" s="8">
        <v>30</v>
      </c>
      <c r="F15" s="8" t="s">
        <v>345</v>
      </c>
      <c r="G15" s="8" t="s">
        <v>322</v>
      </c>
      <c r="H15" s="8" t="s">
        <v>130</v>
      </c>
      <c r="I15" s="7" t="s">
        <v>352</v>
      </c>
      <c r="J15" s="8" t="s">
        <v>353</v>
      </c>
      <c r="K15" s="9" t="s">
        <v>348</v>
      </c>
    </row>
    <row r="16" ht="20" customHeight="1" spans="1:11" x14ac:dyDescent="0.25">
      <c r="A16" s="8">
        <v>3</v>
      </c>
      <c r="B16" s="8" t="s">
        <v>354</v>
      </c>
      <c r="C16" s="7" t="s">
        <v>355</v>
      </c>
      <c r="D16" s="8" t="s">
        <v>356</v>
      </c>
      <c r="E16" s="8">
        <v>30</v>
      </c>
      <c r="F16" s="8" t="s">
        <v>345</v>
      </c>
      <c r="G16" s="8" t="s">
        <v>322</v>
      </c>
      <c r="H16" s="8" t="s">
        <v>130</v>
      </c>
      <c r="I16" s="7" t="s">
        <v>357</v>
      </c>
      <c r="J16" s="8" t="s">
        <v>358</v>
      </c>
      <c r="K16" s="9" t="s">
        <v>348</v>
      </c>
    </row>
    <row r="17" ht="20" customHeight="1" spans="1:11" x14ac:dyDescent="0.25">
      <c r="A17" s="8">
        <v>4</v>
      </c>
      <c r="B17" s="8" t="s">
        <v>359</v>
      </c>
      <c r="C17" s="7" t="s">
        <v>360</v>
      </c>
      <c r="D17" s="8" t="s">
        <v>361</v>
      </c>
      <c r="E17" s="8">
        <v>44</v>
      </c>
      <c r="F17" s="8" t="s">
        <v>345</v>
      </c>
      <c r="G17" s="8" t="s">
        <v>135</v>
      </c>
      <c r="H17" s="8" t="s">
        <v>130</v>
      </c>
      <c r="I17" s="7" t="s">
        <v>362</v>
      </c>
      <c r="J17" s="8" t="s">
        <v>363</v>
      </c>
      <c r="K17" s="9" t="s">
        <v>348</v>
      </c>
    </row>
    <row r="18" ht="20" customHeight="1" spans="1:11" x14ac:dyDescent="0.25">
      <c r="A18" s="8">
        <v>5</v>
      </c>
      <c r="B18" s="8" t="s">
        <v>364</v>
      </c>
      <c r="C18" s="7" t="s">
        <v>365</v>
      </c>
      <c r="D18" s="8" t="s">
        <v>366</v>
      </c>
      <c r="E18" s="8">
        <v>44</v>
      </c>
      <c r="F18" s="8" t="s">
        <v>367</v>
      </c>
      <c r="G18" s="8" t="s">
        <v>322</v>
      </c>
      <c r="H18" s="8" t="s">
        <v>130</v>
      </c>
      <c r="I18" s="7" t="s">
        <v>368</v>
      </c>
      <c r="J18" s="8" t="s">
        <v>369</v>
      </c>
      <c r="K18" s="9" t="s">
        <v>348</v>
      </c>
    </row>
    <row r="19" spans="1:11" x14ac:dyDescent="0.25">
      <c r="A19" s="11" t="s">
        <v>370</v>
      </c>
      <c r="B19" s="11"/>
      <c r="C19" s="11"/>
      <c r="D19" s="11"/>
      <c r="E19" s="11">
        <f>SUM(E14:E18)</f>
      </c>
      <c r="F19" s="11" t="s">
        <v>146</v>
      </c>
      <c r="G19" s="11" t="s">
        <v>146</v>
      </c>
      <c r="H19" s="11" t="s">
        <v>146</v>
      </c>
      <c r="I19" s="11" t="s">
        <v>146</v>
      </c>
      <c r="J19" s="11" t="s">
        <v>146</v>
      </c>
      <c r="K19" s="11" t="s">
        <v>371</v>
      </c>
    </row>
  </sheetData>
  <mergeCells count="6">
    <mergeCell ref="A1:K1"/>
    <mergeCell ref="A2:K2"/>
    <mergeCell ref="A4:K4"/>
    <mergeCell ref="A10:C10"/>
    <mergeCell ref="A12:K12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A580C"/>
  </sheetPr>
  <dimension ref="A1:L20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18" customWidth="1"/>
    <col min="5" max="5" width="28" customWidth="1"/>
    <col min="6" max="6" width="14" customWidth="1"/>
    <col min="7" max="7" width="15" customWidth="1"/>
    <col min="8" max="8" width="17" customWidth="1"/>
    <col min="9" max="9" width="12" customWidth="1"/>
    <col min="10" max="10" width="14" customWidth="1"/>
    <col min="11" max="11" width="10" customWidth="1"/>
    <col min="12" max="12" width="38" customWidth="1"/>
  </cols>
  <sheetData>
    <row r="1" ht="28" customHeight="1" spans="1:12" x14ac:dyDescent="0.25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6" customHeight="1" spans="1:12" x14ac:dyDescent="0.25">
      <c r="A4" s="16" t="s">
        <v>64</v>
      </c>
      <c r="B4" s="16" t="s">
        <v>104</v>
      </c>
      <c r="C4" s="16" t="s">
        <v>105</v>
      </c>
      <c r="D4" s="16" t="s">
        <v>374</v>
      </c>
      <c r="E4" s="16" t="s">
        <v>336</v>
      </c>
      <c r="F4" s="16" t="s">
        <v>375</v>
      </c>
      <c r="G4" s="16" t="s">
        <v>376</v>
      </c>
      <c r="H4" s="16" t="s">
        <v>377</v>
      </c>
      <c r="I4" s="16" t="s">
        <v>378</v>
      </c>
      <c r="J4" s="16" t="s">
        <v>379</v>
      </c>
      <c r="K4" s="16" t="s">
        <v>380</v>
      </c>
      <c r="L4" s="16" t="s">
        <v>381</v>
      </c>
    </row>
    <row r="5" ht="19" customHeight="1" spans="1:12" x14ac:dyDescent="0.25">
      <c r="A5" s="8">
        <v>1</v>
      </c>
      <c r="B5" s="8" t="s">
        <v>382</v>
      </c>
      <c r="C5" s="7" t="s">
        <v>383</v>
      </c>
      <c r="D5" s="8" t="s">
        <v>367</v>
      </c>
      <c r="E5" s="8" t="s">
        <v>384</v>
      </c>
      <c r="F5" s="8">
        <v>44</v>
      </c>
      <c r="G5" s="8">
        <v>44</v>
      </c>
      <c r="H5" s="8">
        <v>0</v>
      </c>
      <c r="I5" s="8">
        <v>0</v>
      </c>
      <c r="J5" s="8">
        <v>0</v>
      </c>
      <c r="K5" s="8">
        <v>0</v>
      </c>
      <c r="L5" s="7" t="s">
        <v>385</v>
      </c>
    </row>
    <row r="6" ht="19" customHeight="1" spans="1:12" x14ac:dyDescent="0.25">
      <c r="A6" s="8">
        <v>2</v>
      </c>
      <c r="B6" s="8" t="s">
        <v>386</v>
      </c>
      <c r="C6" s="7" t="s">
        <v>387</v>
      </c>
      <c r="D6" s="8" t="s">
        <v>367</v>
      </c>
      <c r="E6" s="8" t="s">
        <v>384</v>
      </c>
      <c r="F6" s="8">
        <v>44</v>
      </c>
      <c r="G6" s="8">
        <v>44</v>
      </c>
      <c r="H6" s="8">
        <v>0</v>
      </c>
      <c r="I6" s="8">
        <v>0</v>
      </c>
      <c r="J6" s="8">
        <v>0</v>
      </c>
      <c r="K6" s="8">
        <v>0</v>
      </c>
      <c r="L6" s="7" t="s">
        <v>388</v>
      </c>
    </row>
    <row r="7" ht="19" customHeight="1" spans="1:12" x14ac:dyDescent="0.25">
      <c r="A7" s="8">
        <v>3</v>
      </c>
      <c r="B7" s="8" t="s">
        <v>389</v>
      </c>
      <c r="C7" s="7" t="s">
        <v>390</v>
      </c>
      <c r="D7" s="8" t="s">
        <v>391</v>
      </c>
      <c r="E7" s="8" t="s">
        <v>392</v>
      </c>
      <c r="F7" s="8">
        <v>44</v>
      </c>
      <c r="G7" s="8">
        <v>44</v>
      </c>
      <c r="H7" s="8">
        <v>0</v>
      </c>
      <c r="I7" s="8">
        <v>0</v>
      </c>
      <c r="J7" s="8">
        <v>0</v>
      </c>
      <c r="K7" s="8">
        <v>0</v>
      </c>
      <c r="L7" s="7" t="s">
        <v>393</v>
      </c>
    </row>
    <row r="8" ht="19" customHeight="1" spans="1:12" x14ac:dyDescent="0.25">
      <c r="A8" s="8">
        <v>4</v>
      </c>
      <c r="B8" s="8" t="s">
        <v>394</v>
      </c>
      <c r="C8" s="7" t="s">
        <v>395</v>
      </c>
      <c r="D8" s="8" t="s">
        <v>391</v>
      </c>
      <c r="E8" s="8" t="s">
        <v>392</v>
      </c>
      <c r="F8" s="8">
        <v>44</v>
      </c>
      <c r="G8" s="8">
        <v>44</v>
      </c>
      <c r="H8" s="8">
        <v>0</v>
      </c>
      <c r="I8" s="8">
        <v>0</v>
      </c>
      <c r="J8" s="8">
        <v>0</v>
      </c>
      <c r="K8" s="8">
        <v>0</v>
      </c>
      <c r="L8" s="7" t="s">
        <v>396</v>
      </c>
    </row>
    <row r="9" ht="19" customHeight="1" spans="1:12" x14ac:dyDescent="0.25">
      <c r="A9" s="8">
        <v>5</v>
      </c>
      <c r="B9" s="8" t="s">
        <v>397</v>
      </c>
      <c r="C9" s="7" t="s">
        <v>398</v>
      </c>
      <c r="D9" s="8" t="s">
        <v>391</v>
      </c>
      <c r="E9" s="8" t="s">
        <v>399</v>
      </c>
      <c r="F9" s="8">
        <v>44</v>
      </c>
      <c r="G9" s="8">
        <v>44</v>
      </c>
      <c r="H9" s="8">
        <v>0</v>
      </c>
      <c r="I9" s="8">
        <v>0</v>
      </c>
      <c r="J9" s="8">
        <v>0</v>
      </c>
      <c r="K9" s="8">
        <v>0</v>
      </c>
      <c r="L9" s="7" t="s">
        <v>400</v>
      </c>
    </row>
    <row r="10" ht="19" customHeight="1" spans="1:12" x14ac:dyDescent="0.25">
      <c r="A10" s="8">
        <v>6</v>
      </c>
      <c r="B10" s="8" t="s">
        <v>401</v>
      </c>
      <c r="C10" s="7" t="s">
        <v>402</v>
      </c>
      <c r="D10" s="8" t="s">
        <v>391</v>
      </c>
      <c r="E10" s="8" t="s">
        <v>403</v>
      </c>
      <c r="F10" s="8">
        <v>44</v>
      </c>
      <c r="G10" s="8">
        <v>0</v>
      </c>
      <c r="H10" s="8">
        <v>44</v>
      </c>
      <c r="I10" s="8">
        <v>0</v>
      </c>
      <c r="J10" s="8">
        <v>0</v>
      </c>
      <c r="K10" s="8">
        <v>0</v>
      </c>
      <c r="L10" s="7" t="s">
        <v>404</v>
      </c>
    </row>
    <row r="11" ht="19" customHeight="1" spans="1:12" x14ac:dyDescent="0.25">
      <c r="A11" s="8">
        <v>7</v>
      </c>
      <c r="B11" s="8" t="s">
        <v>405</v>
      </c>
      <c r="C11" s="7" t="s">
        <v>406</v>
      </c>
      <c r="D11" s="8" t="s">
        <v>407</v>
      </c>
      <c r="E11" s="8" t="s">
        <v>408</v>
      </c>
      <c r="F11" s="8">
        <v>44</v>
      </c>
      <c r="G11" s="8">
        <v>44</v>
      </c>
      <c r="H11" s="8">
        <v>0</v>
      </c>
      <c r="I11" s="8">
        <v>0</v>
      </c>
      <c r="J11" s="8">
        <v>0</v>
      </c>
      <c r="K11" s="8">
        <v>0</v>
      </c>
      <c r="L11" s="7" t="s">
        <v>409</v>
      </c>
    </row>
    <row r="12" ht="19" customHeight="1" spans="1:12" x14ac:dyDescent="0.25">
      <c r="A12" s="8">
        <v>8</v>
      </c>
      <c r="B12" s="8" t="s">
        <v>410</v>
      </c>
      <c r="C12" s="7" t="s">
        <v>411</v>
      </c>
      <c r="D12" s="8" t="s">
        <v>407</v>
      </c>
      <c r="E12" s="8" t="s">
        <v>408</v>
      </c>
      <c r="F12" s="8">
        <v>44</v>
      </c>
      <c r="G12" s="8">
        <v>44</v>
      </c>
      <c r="H12" s="8">
        <v>0</v>
      </c>
      <c r="I12" s="8">
        <v>0</v>
      </c>
      <c r="J12" s="8">
        <v>0</v>
      </c>
      <c r="K12" s="8">
        <v>0</v>
      </c>
      <c r="L12" s="7" t="s">
        <v>412</v>
      </c>
    </row>
    <row r="13" ht="19" customHeight="1" spans="1:12" x14ac:dyDescent="0.25">
      <c r="A13" s="8">
        <v>9</v>
      </c>
      <c r="B13" s="8" t="s">
        <v>413</v>
      </c>
      <c r="C13" s="7" t="s">
        <v>414</v>
      </c>
      <c r="D13" s="8" t="s">
        <v>407</v>
      </c>
      <c r="E13" s="8" t="s">
        <v>408</v>
      </c>
      <c r="F13" s="8">
        <v>44</v>
      </c>
      <c r="G13" s="8">
        <v>44</v>
      </c>
      <c r="H13" s="8">
        <v>0</v>
      </c>
      <c r="I13" s="8">
        <v>0</v>
      </c>
      <c r="J13" s="8">
        <v>0</v>
      </c>
      <c r="K13" s="8">
        <v>0</v>
      </c>
      <c r="L13" s="7" t="s">
        <v>415</v>
      </c>
    </row>
    <row r="14" ht="19" customHeight="1" spans="1:12" x14ac:dyDescent="0.25">
      <c r="A14" s="8">
        <v>10</v>
      </c>
      <c r="B14" s="8" t="s">
        <v>416</v>
      </c>
      <c r="C14" s="7" t="s">
        <v>417</v>
      </c>
      <c r="D14" s="8" t="s">
        <v>407</v>
      </c>
      <c r="E14" s="8" t="s">
        <v>418</v>
      </c>
      <c r="F14" s="8">
        <v>44</v>
      </c>
      <c r="G14" s="8">
        <v>44</v>
      </c>
      <c r="H14" s="8">
        <v>0</v>
      </c>
      <c r="I14" s="8">
        <v>0</v>
      </c>
      <c r="J14" s="8">
        <v>0</v>
      </c>
      <c r="K14" s="8">
        <v>0</v>
      </c>
      <c r="L14" s="7" t="s">
        <v>419</v>
      </c>
    </row>
    <row r="15" ht="19" customHeight="1" spans="1:12" x14ac:dyDescent="0.25">
      <c r="A15" s="8">
        <v>11</v>
      </c>
      <c r="B15" s="8" t="s">
        <v>420</v>
      </c>
      <c r="C15" s="7" t="s">
        <v>421</v>
      </c>
      <c r="D15" s="8" t="s">
        <v>407</v>
      </c>
      <c r="E15" s="8" t="s">
        <v>422</v>
      </c>
      <c r="F15" s="8">
        <v>44</v>
      </c>
      <c r="G15" s="8">
        <v>44</v>
      </c>
      <c r="H15" s="8">
        <v>0</v>
      </c>
      <c r="I15" s="8">
        <v>0</v>
      </c>
      <c r="J15" s="8">
        <v>0</v>
      </c>
      <c r="K15" s="8">
        <v>0</v>
      </c>
      <c r="L15" s="7" t="s">
        <v>423</v>
      </c>
    </row>
    <row r="16" ht="19" customHeight="1" spans="1:12" x14ac:dyDescent="0.25">
      <c r="A16" s="8">
        <v>12</v>
      </c>
      <c r="B16" s="8" t="s">
        <v>424</v>
      </c>
      <c r="C16" s="7" t="s">
        <v>425</v>
      </c>
      <c r="D16" s="8" t="s">
        <v>407</v>
      </c>
      <c r="E16" s="8" t="s">
        <v>426</v>
      </c>
      <c r="F16" s="8">
        <v>44</v>
      </c>
      <c r="G16" s="8">
        <v>44</v>
      </c>
      <c r="H16" s="8">
        <v>0</v>
      </c>
      <c r="I16" s="8">
        <v>0</v>
      </c>
      <c r="J16" s="8">
        <v>0</v>
      </c>
      <c r="K16" s="8">
        <v>0</v>
      </c>
      <c r="L16" s="7" t="s">
        <v>427</v>
      </c>
    </row>
    <row r="17" ht="19" customHeight="1" spans="1:12" x14ac:dyDescent="0.25">
      <c r="A17" s="8">
        <v>13</v>
      </c>
      <c r="B17" s="8" t="s">
        <v>428</v>
      </c>
      <c r="C17" s="7" t="s">
        <v>429</v>
      </c>
      <c r="D17" s="8" t="s">
        <v>367</v>
      </c>
      <c r="E17" s="8" t="s">
        <v>430</v>
      </c>
      <c r="F17" s="8">
        <v>44</v>
      </c>
      <c r="G17" s="8">
        <v>0</v>
      </c>
      <c r="H17" s="8">
        <v>44</v>
      </c>
      <c r="I17" s="8">
        <v>0</v>
      </c>
      <c r="J17" s="8">
        <v>0</v>
      </c>
      <c r="K17" s="8">
        <v>0</v>
      </c>
      <c r="L17" s="7" t="s">
        <v>431</v>
      </c>
    </row>
    <row r="18" ht="19" customHeight="1" spans="1:12" x14ac:dyDescent="0.25">
      <c r="A18" s="8">
        <v>14</v>
      </c>
      <c r="B18" s="8" t="s">
        <v>432</v>
      </c>
      <c r="C18" s="7" t="s">
        <v>433</v>
      </c>
      <c r="D18" s="8" t="s">
        <v>367</v>
      </c>
      <c r="E18" s="8" t="s">
        <v>434</v>
      </c>
      <c r="F18" s="8">
        <v>44</v>
      </c>
      <c r="G18" s="8">
        <v>0</v>
      </c>
      <c r="H18" s="8">
        <v>0</v>
      </c>
      <c r="I18" s="8">
        <v>44</v>
      </c>
      <c r="J18" s="8">
        <v>0</v>
      </c>
      <c r="K18" s="8">
        <v>0</v>
      </c>
      <c r="L18" s="7" t="s">
        <v>435</v>
      </c>
    </row>
    <row r="19" ht="19" customHeight="1" spans="1:12" x14ac:dyDescent="0.25">
      <c r="A19" s="8">
        <v>15</v>
      </c>
      <c r="B19" s="8" t="s">
        <v>436</v>
      </c>
      <c r="C19" s="7" t="s">
        <v>437</v>
      </c>
      <c r="D19" s="8" t="s">
        <v>367</v>
      </c>
      <c r="E19" s="8" t="s">
        <v>366</v>
      </c>
      <c r="F19" s="8">
        <v>44</v>
      </c>
      <c r="G19" s="8">
        <v>0</v>
      </c>
      <c r="H19" s="8">
        <v>0</v>
      </c>
      <c r="I19" s="8">
        <v>0</v>
      </c>
      <c r="J19" s="8">
        <v>0</v>
      </c>
      <c r="K19" s="8">
        <v>44</v>
      </c>
      <c r="L19" s="7" t="s">
        <v>438</v>
      </c>
    </row>
    <row r="20" ht="22" customHeight="1" spans="1:12" x14ac:dyDescent="0.25">
      <c r="A20" s="11" t="s">
        <v>439</v>
      </c>
      <c r="B20" s="11"/>
      <c r="C20" s="11"/>
      <c r="D20" s="11"/>
      <c r="E20" s="11"/>
      <c r="F20" s="11">
        <f>SUM(F5:F19)</f>
      </c>
      <c r="G20" s="11">
        <f>SUM(G5:G19)</f>
      </c>
      <c r="H20" s="11">
        <f>SUM(H5:H19)</f>
      </c>
      <c r="I20" s="11">
        <f>SUM(I5:I19)</f>
      </c>
      <c r="J20" s="11">
        <f>SUM(J5:J19)</f>
      </c>
      <c r="K20" s="11">
        <f>SUM(K5:K19)</f>
      </c>
      <c r="L20" s="11" t="s">
        <v>440</v>
      </c>
    </row>
  </sheetData>
  <mergeCells count="3">
    <mergeCell ref="A1:L1"/>
    <mergeCell ref="A2:L2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4748B"/>
  </sheetPr>
  <dimension ref="A1:J20"/>
  <sheetViews>
    <sheetView workbookViewId="0"/>
  </sheetViews>
  <sheetFormatPr defaultRowHeight="15" outlineLevelRow="0" outlineLevelCol="0" x14ac:dyDescent="55"/>
  <cols>
    <col min="1" max="1" width="32" customWidth="1"/>
    <col min="2" max="2" width="4" customWidth="1"/>
    <col min="3" max="3" width="34" customWidth="1"/>
    <col min="4" max="4" width="4" customWidth="1"/>
    <col min="5" max="5" width="18" customWidth="1"/>
    <col min="6" max="6" width="14" customWidth="1"/>
    <col min="7" max="7" width="4" customWidth="1"/>
    <col min="8" max="8" width="18" customWidth="1"/>
    <col min="9" max="9" width="14" customWidth="1"/>
  </cols>
  <sheetData>
    <row r="1" ht="28" customHeight="1" spans="1:10" x14ac:dyDescent="0.25">
      <c r="A1" s="1" t="s">
        <v>441</v>
      </c>
      <c r="B1" s="1"/>
      <c r="C1" s="1"/>
      <c r="D1" s="1"/>
      <c r="E1" s="1"/>
      <c r="F1" s="1"/>
      <c r="G1" s="1"/>
      <c r="H1" s="1"/>
      <c r="I1" s="1"/>
      <c r="J1" s="1"/>
    </row>
    <row r="3" spans="1:9" x14ac:dyDescent="0.25">
      <c r="A3" s="26" t="s">
        <v>442</v>
      </c>
      <c r="C3" s="26" t="s">
        <v>443</v>
      </c>
      <c r="E3" s="27" t="s">
        <v>444</v>
      </c>
      <c r="F3" s="27" t="s">
        <v>445</v>
      </c>
      <c r="H3" s="28" t="s">
        <v>446</v>
      </c>
      <c r="I3" s="28" t="s">
        <v>445</v>
      </c>
    </row>
    <row r="4" spans="1:9" x14ac:dyDescent="0.25">
      <c r="A4" s="29" t="s">
        <v>283</v>
      </c>
      <c r="C4" s="29" t="s">
        <v>392</v>
      </c>
      <c r="E4" s="29" t="s">
        <v>447</v>
      </c>
      <c r="F4" s="29">
        <v>26.4</v>
      </c>
      <c r="H4" s="29" t="s">
        <v>447</v>
      </c>
      <c r="I4" s="29">
        <v>28.6</v>
      </c>
    </row>
    <row r="5" spans="1:9" x14ac:dyDescent="0.25">
      <c r="A5" s="29" t="s">
        <v>286</v>
      </c>
      <c r="C5" s="29" t="s">
        <v>408</v>
      </c>
      <c r="E5" s="29" t="s">
        <v>448</v>
      </c>
      <c r="F5" s="29">
        <v>25.2</v>
      </c>
      <c r="H5" s="29" t="s">
        <v>448</v>
      </c>
      <c r="I5" s="29">
        <v>27.3</v>
      </c>
    </row>
    <row r="6" spans="1:9" x14ac:dyDescent="0.25">
      <c r="A6" s="29" t="s">
        <v>287</v>
      </c>
      <c r="C6" s="29" t="s">
        <v>344</v>
      </c>
      <c r="E6" s="29" t="s">
        <v>449</v>
      </c>
      <c r="F6" s="29">
        <v>24</v>
      </c>
      <c r="H6" s="29" t="s">
        <v>449</v>
      </c>
      <c r="I6" s="29">
        <v>26</v>
      </c>
    </row>
    <row r="7" spans="1:9" x14ac:dyDescent="0.25">
      <c r="A7" s="29" t="s">
        <v>288</v>
      </c>
      <c r="C7" s="29" t="s">
        <v>361</v>
      </c>
      <c r="E7" s="29" t="s">
        <v>450</v>
      </c>
      <c r="F7" s="29">
        <v>22.8</v>
      </c>
      <c r="H7" s="29" t="s">
        <v>450</v>
      </c>
      <c r="I7" s="29">
        <v>24.7</v>
      </c>
    </row>
    <row r="8" spans="1:9" x14ac:dyDescent="0.25">
      <c r="A8" s="29" t="s">
        <v>289</v>
      </c>
      <c r="C8" s="29" t="s">
        <v>451</v>
      </c>
      <c r="E8" s="29" t="s">
        <v>452</v>
      </c>
      <c r="F8" s="29">
        <v>21.6</v>
      </c>
      <c r="H8" s="29" t="s">
        <v>452</v>
      </c>
      <c r="I8" s="29">
        <v>23.4</v>
      </c>
    </row>
    <row r="9" spans="1:9" x14ac:dyDescent="0.25">
      <c r="A9" s="29" t="s">
        <v>291</v>
      </c>
      <c r="C9" s="29" t="s">
        <v>453</v>
      </c>
      <c r="E9" s="29" t="s">
        <v>454</v>
      </c>
      <c r="F9" s="29">
        <v>20.4</v>
      </c>
      <c r="H9" s="29" t="s">
        <v>454</v>
      </c>
      <c r="I9" s="29">
        <v>22.1</v>
      </c>
    </row>
    <row r="10" spans="1:9" x14ac:dyDescent="0.25">
      <c r="A10" s="29" t="s">
        <v>302</v>
      </c>
      <c r="C10" s="29" t="s">
        <v>351</v>
      </c>
      <c r="E10" s="29" t="s">
        <v>455</v>
      </c>
      <c r="F10" s="29">
        <v>19.2</v>
      </c>
      <c r="H10" s="29" t="s">
        <v>455</v>
      </c>
      <c r="I10" s="29">
        <v>20.8</v>
      </c>
    </row>
    <row r="11" spans="1:9" x14ac:dyDescent="0.25">
      <c r="A11" s="29" t="s">
        <v>456</v>
      </c>
      <c r="C11" s="29" t="s">
        <v>356</v>
      </c>
      <c r="E11" s="29" t="s">
        <v>457</v>
      </c>
      <c r="F11" s="29">
        <v>18</v>
      </c>
      <c r="H11" s="29" t="s">
        <v>457</v>
      </c>
      <c r="I11" s="29">
        <v>19.5</v>
      </c>
    </row>
    <row r="12" spans="1:9" x14ac:dyDescent="0.25">
      <c r="A12" s="29" t="s">
        <v>458</v>
      </c>
      <c r="C12" s="29" t="s">
        <v>366</v>
      </c>
      <c r="E12" s="29" t="s">
        <v>459</v>
      </c>
      <c r="F12" s="29">
        <v>16.8</v>
      </c>
      <c r="H12" s="29" t="s">
        <v>459</v>
      </c>
      <c r="I12" s="29">
        <v>18.2</v>
      </c>
    </row>
    <row r="13" spans="1:9" x14ac:dyDescent="0.25">
      <c r="A13" s="29" t="s">
        <v>460</v>
      </c>
      <c r="C13" s="29" t="s">
        <v>384</v>
      </c>
      <c r="E13" s="29" t="s">
        <v>461</v>
      </c>
      <c r="F13" s="29">
        <v>15.6</v>
      </c>
      <c r="H13" s="29" t="s">
        <v>461</v>
      </c>
      <c r="I13" s="29">
        <v>16.9</v>
      </c>
    </row>
    <row r="14" spans="1:9" x14ac:dyDescent="0.25">
      <c r="A14" s="29" t="s">
        <v>462</v>
      </c>
      <c r="C14" s="29" t="s">
        <v>403</v>
      </c>
      <c r="E14" s="29" t="s">
        <v>463</v>
      </c>
      <c r="F14" s="29">
        <v>14.4</v>
      </c>
      <c r="H14" s="29" t="s">
        <v>463</v>
      </c>
      <c r="I14" s="29">
        <v>15.6</v>
      </c>
    </row>
    <row r="15" spans="1:9" x14ac:dyDescent="0.25">
      <c r="A15" s="29" t="s">
        <v>464</v>
      </c>
      <c r="C15" s="29" t="s">
        <v>422</v>
      </c>
      <c r="E15" s="29" t="s">
        <v>465</v>
      </c>
      <c r="F15" s="29">
        <v>13.2</v>
      </c>
      <c r="H15" s="29" t="s">
        <v>465</v>
      </c>
      <c r="I15" s="29">
        <v>14.3</v>
      </c>
    </row>
    <row r="16" spans="1:3" x14ac:dyDescent="0.25">
      <c r="A16" s="29" t="s">
        <v>466</v>
      </c>
      <c r="C16" s="29" t="s">
        <v>426</v>
      </c>
    </row>
    <row r="17" spans="1:3" x14ac:dyDescent="0.25">
      <c r="A17" s="29" t="s">
        <v>467</v>
      </c>
      <c r="C17" s="29" t="s">
        <v>430</v>
      </c>
    </row>
    <row r="18" spans="1:3" x14ac:dyDescent="0.25">
      <c r="A18" s="29" t="s">
        <v>468</v>
      </c>
      <c r="C18" s="29" t="s">
        <v>434</v>
      </c>
    </row>
    <row r="19" spans="1:3" x14ac:dyDescent="0.25">
      <c r="A19" s="29" t="s">
        <v>305</v>
      </c>
      <c r="C19" s="29" t="s">
        <v>399</v>
      </c>
    </row>
    <row r="20" spans="1:3" x14ac:dyDescent="0.25">
      <c r="A20" s="29" t="s">
        <v>303</v>
      </c>
      <c r="C20" s="29" t="s">
        <v>418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Resumen y Control</vt:lpstr>
      <vt:lpstr>2. Cursos y Planes</vt:lpstr>
      <vt:lpstr>3. Directivos y Tecnicos</vt:lpstr>
      <vt:lpstr>4. Docentes de Aula</vt:lpstr>
      <vt:lpstr>4.1 Detalle Asignaturas Cursos</vt:lpstr>
      <vt:lpstr>5. Equipo PIE</vt:lpstr>
      <vt:lpstr>6. Asistentes Educacion</vt:lpstr>
      <vt:lpstr>7. Parametros y Tablas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SLEP Valle Diguillín - Sistema de Dotación Escolar</dc:creator>
  <dc:title/>
  <dc:subject/>
  <dc:description/>
  <cp:keywords/>
  <cp:category/>
  <cp:lastModifiedBy>UATP SLEP Valle Diguillín</cp:lastModifiedBy>
  <dcterms:created xsi:type="dcterms:W3CDTF">2026-10-28T01:05:16Z</dcterms:created>
  <dcterms:modified xsi:type="dcterms:W3CDTF">2026-10-28T01:05:16Z</dcterms:modified>
</cp:coreProperties>
</file>
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sumen y Control" state="visible" r:id="rId4"/>
    <sheet sheetId="2" name="2. Cursos y Planes" state="visible" r:id="rId5"/>
    <sheet sheetId="3" name="3. Directivos y Tecnicos" state="visible" r:id="rId6"/>
    <sheet sheetId="4" name="4. Docentes de Aula" state="visible" r:id="rId7"/>
    <sheet sheetId="5" name="5. Equipo PIE" state="visible" r:id="rId8"/>
    <sheet sheetId="6" name="6. Asistentes Educacion" state="visible" r:id="rId9"/>
    <sheet sheetId="7" name="7. Parametros y Tablas" state="visible" r:id="rId10"/>
  </sheets>
  <calcPr calcId="171027"/>
</workbook>
</file>

<file path=xl/sharedStrings.xml><?xml version="1.0" encoding="utf-8"?>
<sst xmlns="http://schemas.openxmlformats.org/spreadsheetml/2006/main" count="595" uniqueCount="399">
  <si>
    <t>SERVICIO LOCAL DE EDUCACIÓN PÚBLICA VALLE DIGUILLÍN</t>
  </si>
  <si>
    <t>MATRIZ PRECARGADA DE PLANIFICACIÓN DE DOTACIÓN ESCOLAR 2027 – AUTO-AUDITORÍA Y SEMÁFORO EN VIVO</t>
  </si>
  <si>
    <t>FICHA DEL ESTABLECIMIENTO (PRECARGADA POR SLEP)</t>
  </si>
  <si>
    <t>RBD:</t>
  </si>
  <si>
    <t>Comuna:</t>
  </si>
  <si>
    <t>San Ignacio</t>
  </si>
  <si>
    <t>Establecimiento:</t>
  </si>
  <si>
    <t>LICEO BICENTENARIO DE EXCELENCIA PUEBLO SECO</t>
  </si>
  <si>
    <t>Régimen:</t>
  </si>
  <si>
    <t>JECD (Jornada Escolar Completa)</t>
  </si>
  <si>
    <t>Director(a):</t>
  </si>
  <si>
    <t>SILVA VEGA, MARIO ANTONIO</t>
  </si>
  <si>
    <t>Proporción Ley 20.903:</t>
  </si>
  <si>
    <t>60/40 (Vulnerabilidad &gt; 80%)</t>
  </si>
  <si>
    <t>Asesor(a) UATP:</t>
  </si>
  <si>
    <t>Dionicio Flores</t>
  </si>
  <si>
    <t>Periodo Proyectado:</t>
  </si>
  <si>
    <t>Año Escolar 2027</t>
  </si>
  <si>
    <t>1. BALANCE GENERAL DE DOTACIÓN (FÓRMULAS VINCULADAS EN TIEMPO REAL)</t>
  </si>
  <si>
    <t>Estamento / Universo</t>
  </si>
  <si>
    <t>Personas</t>
  </si>
  <si>
    <t>Horas Contrato</t>
  </si>
  <si>
    <t>Horas Lectivas / Aula</t>
  </si>
  <si>
    <t>Horas No Lectivas</t>
  </si>
  <si>
    <t>Balance Horario</t>
  </si>
  <si>
    <t>Estado Normativo</t>
  </si>
  <si>
    <t>Docentes de Aula (Subv. Normal + SEP + PIE)</t>
  </si>
  <si>
    <t>✓ Cuadrado con Contrato</t>
  </si>
  <si>
    <t>Directivos y Técnicos Pedagógicos (DFL 1 / Ley 20.903)</t>
  </si>
  <si>
    <t>✓ 100% Fuera de Aula</t>
  </si>
  <si>
    <t>Educadoras Diferenciales (Docentes PIE Dto. 170)</t>
  </si>
  <si>
    <t>✓ Cubre Co-docencia y Recursos</t>
  </si>
  <si>
    <t>Profesionales de Apoyo PIE / Dupla SEP (No Docentes)</t>
  </si>
  <si>
    <t>✓ Jornada Completa Efectiva</t>
  </si>
  <si>
    <t>Asistentes de la Educación (Ley 21.109 - 17 Cargos)</t>
  </si>
  <si>
    <t>✓ 100% Efectivo Estatuto AAEE</t>
  </si>
  <si>
    <t>TOTALES CONSOLIDADOS DEL ESTABLECIMIENTO</t>
  </si>
  <si>
    <t>✓ DOTACIÓN GENERAL CUADRADA</t>
  </si>
  <si>
    <t>2. CHECKLIST NORMATIVO MINEDUC / DEP (VALIDACIONES EN VIVO)</t>
  </si>
  <si>
    <t>Verificación Normativa</t>
  </si>
  <si>
    <t>Dato Calculado</t>
  </si>
  <si>
    <t>Veredicto</t>
  </si>
  <si>
    <t>Fundamento Legal / Operativo</t>
  </si>
  <si>
    <t>Tope Legal de Contrata (Máximo 20% sobre dotación titular):</t>
  </si>
  <si>
    <t>14.8%</t>
  </si>
  <si>
    <t>CUMPLE</t>
  </si>
  <si>
    <t>El establecimiento no excede el límite fijado por el Art. 26 DFL 1/1996.</t>
  </si>
  <si>
    <t>Proporción Ley 20.903 (Tope 60% aula para vulnerabilidad &gt;80%):</t>
  </si>
  <si>
    <t>60.0% Aula / 40.0% No Lectiva</t>
  </si>
  <si>
    <t>Ningún docente supera el máximo legal de aula según su contrato.</t>
  </si>
  <si>
    <t>Cobertura Total del Plan de Estudios Oficial (14 cursos):</t>
  </si>
  <si>
    <t>546 hrs demandadas / 546 hrs asignadas</t>
  </si>
  <si>
    <t>CUMPLE 100%</t>
  </si>
  <si>
    <t>Todos los cursos tienen cubiertas sus asignaturas mínimas y talleres JECD.</t>
  </si>
  <si>
    <t>Co-docencia PIE Decreto 170 (Máximo 8-10 hrs por curso integrado):</t>
  </si>
  <si>
    <t>8 hrs co-docencia promedio</t>
  </si>
  <si>
    <t>Asignación adecuada entre aula regular y aula de recursos.</t>
  </si>
  <si>
    <t>Cargos Asistentes de la Educación (Estatuto Ley 21.109):</t>
  </si>
  <si>
    <t>15 funcionarios distribuidos en 4 estamentos</t>
  </si>
  <si>
    <t>100% de cargos mapeados a las 17 funciones canónicas de la DEP.</t>
  </si>
  <si>
    <t>3. INSTRUCCIONES OPERATIVAS PARA EL EQUIPO DIRECTIVO Y UTP:</t>
  </si>
  <si>
    <t>1. Verifique en la pestaña "2. Cursos y Planes" la matrícula proyectada y que todos sus cursos autorizados estén reflejados.</t>
  </si>
  <si>
    <t>2. En la pestaña "3. Directivos y Tecnicos", registre las horas de Inspectoría, UTP, Convivencia Escolar y CRA (horas cronológicas fuera de aula).</t>
  </si>
  <si>
    <t>3. En la pestaña "4. Docentes de Aula", asigne las horas pedagógicas que cada profesor imparte en cada curso. Observe el semáforo al final de cada fila.</t>
  </si>
  <si>
    <t>4. La celda de veredicto debe marcar "✓ Cuadrado". Si marca "🚨 Exceso", reduzca horas asignadas; si marca "⚠ Holgura", el docente tiene horas vacantes.</t>
  </si>
  <si>
    <t>5. Revise las pestañas "5. Equipo PIE" y "6. Asistentes Educacion" para confirmar que todo el personal con contrato vigente esté asignado.</t>
  </si>
  <si>
    <t>6. Guarde el archivo con el nombre original sin modificar fórmulas ni encabezados y envíelo a su Asesor Territorial UATP para ingesta directa en la App.</t>
  </si>
  <si>
    <t>ESTRUCTURA DE CURSOS Y PLANES DE ESTUDIO OFICIALES MINEDUC – 2027</t>
  </si>
  <si>
    <t>RBD: 3887 - LICEO BICENTENARIO DE EXCELENCIA PUEBLO SECO | COMUNA: SAN IGNACIO</t>
  </si>
  <si>
    <t>N°</t>
  </si>
  <si>
    <t>Nivel Curricular</t>
  </si>
  <si>
    <t>Letra</t>
  </si>
  <si>
    <t>Régimen JECD</t>
  </si>
  <si>
    <t>Matrícula Proy. 2027</t>
  </si>
  <si>
    <t>Cupo SAE</t>
  </si>
  <si>
    <t>Alumnos NEE (PIE)</t>
  </si>
  <si>
    <t>Hrs Plan Mínimo MINEDUC</t>
  </si>
  <si>
    <t>Hrs Talleres / JECD</t>
  </si>
  <si>
    <t>Demanda Total Semanal</t>
  </si>
  <si>
    <t>Hrs Asignadas en Matriz</t>
  </si>
  <si>
    <t>Estado Cobertura</t>
  </si>
  <si>
    <t>Pre-Kínder (NT1)</t>
  </si>
  <si>
    <t>A</t>
  </si>
  <si>
    <t>No JEC</t>
  </si>
  <si>
    <t>✓ 100% Cubierto</t>
  </si>
  <si>
    <t>Kínder (NT2)</t>
  </si>
  <si>
    <t>1° Básico</t>
  </si>
  <si>
    <t>JECD</t>
  </si>
  <si>
    <t>2° Básico</t>
  </si>
  <si>
    <t>3° Básico</t>
  </si>
  <si>
    <t>4° Básico</t>
  </si>
  <si>
    <t>5° Básico</t>
  </si>
  <si>
    <t>6° Básico</t>
  </si>
  <si>
    <t>7° Básico</t>
  </si>
  <si>
    <t>8° Básico</t>
  </si>
  <si>
    <t>1° Medio HC</t>
  </si>
  <si>
    <t>2° Medio HC</t>
  </si>
  <si>
    <t>3° Medio TP Agropecuaria</t>
  </si>
  <si>
    <t>4° Medio TP Agropecuaria</t>
  </si>
  <si>
    <t>TOTALES</t>
  </si>
  <si>
    <t>✓ 100% CUBIERTO</t>
  </si>
  <si>
    <t>EQUIPO DIRECTIVO Y TÉCNICO-PEDAGÓGICO (DFL 1/1996 - FUNCIONES FUERA DE AULA)</t>
  </si>
  <si>
    <t>RBD: 3887 - LICEO BICENTENARIO DE EXCELENCIA PUEBLO SECO | HORAS 100% CRONOLÓGICAS</t>
  </si>
  <si>
    <t>RUN / RUT</t>
  </si>
  <si>
    <t>Nombres y Apellidos</t>
  </si>
  <si>
    <t>Cargo / Función Oficial</t>
  </si>
  <si>
    <t>Horas Asignadas Función</t>
  </si>
  <si>
    <t>Fuente Financiamiento</t>
  </si>
  <si>
    <t>Situación Contractual</t>
  </si>
  <si>
    <t>Observaciones Normativas</t>
  </si>
  <si>
    <t>10.967.693-4</t>
  </si>
  <si>
    <t>Director</t>
  </si>
  <si>
    <t>Subvención General</t>
  </si>
  <si>
    <t>Titular (Alta Dirección Pública)</t>
  </si>
  <si>
    <t>Director seleccionado por concurso ADP.</t>
  </si>
  <si>
    <t>12.445.890-2</t>
  </si>
  <si>
    <t>GÓMEZ PEÑA, CRISTIAN ANDRÉS</t>
  </si>
  <si>
    <t>Inspector General</t>
  </si>
  <si>
    <t>Titular</t>
  </si>
  <si>
    <t>Jornada completa de inspectoría y convivencia.</t>
  </si>
  <si>
    <t>13.882.109-8</t>
  </si>
  <si>
    <t>SALAZAR ROJAS, MARCELA BEATRIZ</t>
  </si>
  <si>
    <t>Jefe Unidad Técnico Pedagógica</t>
  </si>
  <si>
    <t>Jefatura UTP y coordinación curricular 2027.</t>
  </si>
  <si>
    <t>14.120.345-1</t>
  </si>
  <si>
    <t>PARRA MORALES, JORGE EDUARDO</t>
  </si>
  <si>
    <t>Evaluador Curricular UTP</t>
  </si>
  <si>
    <t>Contrata</t>
  </si>
  <si>
    <t>Apoyo en evaluación y monitoreo de aprendizajes.</t>
  </si>
  <si>
    <t>15.678.901-3</t>
  </si>
  <si>
    <t>CONTRERAS LÓPEZ, CLAUDIA CECILIA</t>
  </si>
  <si>
    <t>Encargada Convivencia Escolar</t>
  </si>
  <si>
    <t>SEP (Ley 20.248)</t>
  </si>
  <si>
    <t>Coordinación PME y cumplimiento Ley Karin (21.643).</t>
  </si>
  <si>
    <t>16.789.012-4</t>
  </si>
  <si>
    <t>MARDONES FUENTES, CARLOS PATRICIO</t>
  </si>
  <si>
    <t>Orientador Educacional</t>
  </si>
  <si>
    <t>Orientación vocacional y tutoría 7° a 4° Medio.</t>
  </si>
  <si>
    <t>15.432.198-7</t>
  </si>
  <si>
    <t>BARRERA VERA, KATHERINE ANDREA</t>
  </si>
  <si>
    <t>Coordinadora CRA / Biblioteca</t>
  </si>
  <si>
    <t>Gestión biblioteca y recursos de aprendizaje CRA.</t>
  </si>
  <si>
    <t>TOTAL HORAS DIRECTIVAS Y TÉCNICAS</t>
  </si>
  <si>
    <t>-</t>
  </si>
  <si>
    <t>✓ 100% REGISTRADO</t>
  </si>
  <si>
    <t>MATRIZ DE ASIGNACIÓN HORARIA DOCENTE DE AULA – LEY 20.903 (PROPORCIÓN 60/40 VULNERABLE)</t>
  </si>
  <si>
    <t>RBD: 3887 - LICEO BICENTENARIO DE EXCELENCIA PUEBLO SECO | HORAS PEDAGÓGICAS POR CURSO Y SEMÁFORO EN VIVO</t>
  </si>
  <si>
    <t>DATOS FUNCIONARIO Y JORNADA CONTRACTUAL</t>
  </si>
  <si>
    <t>ASIGNACIÓN DE HORAS PEDAGÓGICAS POR CURSO</t>
  </si>
  <si>
    <t>TOTALES Y AUDITORÍA DE CONTRATO</t>
  </si>
  <si>
    <t>RUN</t>
  </si>
  <si>
    <t>Régimen</t>
  </si>
  <si>
    <t>Situación</t>
  </si>
  <si>
    <t>Hrs Contrato</t>
  </si>
  <si>
    <t>Tope Aula 60%</t>
  </si>
  <si>
    <t>Hrs No Lect.</t>
  </si>
  <si>
    <t>Asignatura / Especialidad</t>
  </si>
  <si>
    <t>PK</t>
  </si>
  <si>
    <t>K</t>
  </si>
  <si>
    <t>1°B</t>
  </si>
  <si>
    <t>2°B</t>
  </si>
  <si>
    <t>3°B</t>
  </si>
  <si>
    <t>4°B</t>
  </si>
  <si>
    <t>5°B</t>
  </si>
  <si>
    <t>6°B</t>
  </si>
  <si>
    <t>7°B</t>
  </si>
  <si>
    <t>8°B</t>
  </si>
  <si>
    <t>1°M</t>
  </si>
  <si>
    <t>2°M</t>
  </si>
  <si>
    <t>3°M TP</t>
  </si>
  <si>
    <t>4°M TP</t>
  </si>
  <si>
    <t>Total Aula</t>
  </si>
  <si>
    <t>Subv. General</t>
  </si>
  <si>
    <t>SEP</t>
  </si>
  <si>
    <t>Veredicto Auditoría</t>
  </si>
  <si>
    <t>11.234.567-8</t>
  </si>
  <si>
    <t>ARRIAGADA RIQUELME, MARÍA ELENA</t>
  </si>
  <si>
    <t>60/40</t>
  </si>
  <si>
    <t>Educación Parvularia</t>
  </si>
  <si>
    <t>✓ Cuadrado</t>
  </si>
  <si>
    <t>12.345.678-9</t>
  </si>
  <si>
    <t>BAHAMONDES SOTO, PAOLA ANDREA</t>
  </si>
  <si>
    <t>13.456.789-0</t>
  </si>
  <si>
    <t>CASTILLO VENEGAS, HÉCTOR RAMÓN</t>
  </si>
  <si>
    <t>Profesor General Básico 1°</t>
  </si>
  <si>
    <t>14.567.890-1</t>
  </si>
  <si>
    <t>DURÁN CARRILLO, GLORIA ISABEL</t>
  </si>
  <si>
    <t>Profesor General Básico 2°</t>
  </si>
  <si>
    <t>15.678.901-2</t>
  </si>
  <si>
    <t>ESPINOZA BRAVO, JAVIERA CONSTANZA</t>
  </si>
  <si>
    <t>Profesor General Básico 3°</t>
  </si>
  <si>
    <t>16.789.012-3</t>
  </si>
  <si>
    <t>FUENTEALBA PINO, RODRIGO ESTEBAN</t>
  </si>
  <si>
    <t>Profesor General Básico 4°</t>
  </si>
  <si>
    <t>13.987.654-2</t>
  </si>
  <si>
    <t>GARRIDO MORA, LILIANA PATRICIA</t>
  </si>
  <si>
    <t>Lengua y Literatura</t>
  </si>
  <si>
    <t>14.876.543-1</t>
  </si>
  <si>
    <t>HENRÍQUEZ TOLEDO, MAURICIO IVÁN</t>
  </si>
  <si>
    <t>Matemática</t>
  </si>
  <si>
    <t>15.765.432-0</t>
  </si>
  <si>
    <t>IBÁÑEZ SEPÚLVEDA, CAROLINA ANDREA</t>
  </si>
  <si>
    <t>Ciencias Naturales</t>
  </si>
  <si>
    <t>16.654.321-9</t>
  </si>
  <si>
    <t>JARA CIFUENTES, FELIPE ANDRÉS</t>
  </si>
  <si>
    <t>Historia y Geografía</t>
  </si>
  <si>
    <t>17.543.210-8</t>
  </si>
  <si>
    <t>LÓPEZ SANDOVAL, MARCELA PAZ</t>
  </si>
  <si>
    <t>Inglés Básico y Media</t>
  </si>
  <si>
    <t>18.432.109-7</t>
  </si>
  <si>
    <t>MEDINA ALARCÓN, GONZALO ALONSO</t>
  </si>
  <si>
    <t>Educación Física y Salud</t>
  </si>
  <si>
    <t>12.876.543-8</t>
  </si>
  <si>
    <t>NAVARRETE CÁCERES, VIVIANA SOLEDAD</t>
  </si>
  <si>
    <t>Artes Visuales y Música</t>
  </si>
  <si>
    <t>13.765.432-7</t>
  </si>
  <si>
    <t>OJEDA MONTECINOS, RAÚL ENRIQUE</t>
  </si>
  <si>
    <t>Lengua y Literatura Media</t>
  </si>
  <si>
    <t>14.654.321-6</t>
  </si>
  <si>
    <t>PINO VERGARA, CAMILA FERNANDA</t>
  </si>
  <si>
    <t>Matemática Media</t>
  </si>
  <si>
    <t>15.543.210-5</t>
  </si>
  <si>
    <t>QUINTANA BUSTOS, VÍCTOR MANUEL</t>
  </si>
  <si>
    <t>Física, Química y Biología</t>
  </si>
  <si>
    <t>16.432.109-4</t>
  </si>
  <si>
    <t>RIVAS MELLADO, DANIEL ALEJANDRO</t>
  </si>
  <si>
    <t>Especialidad TP Agropecuaria</t>
  </si>
  <si>
    <t>17.321.098-3</t>
  </si>
  <si>
    <t>SÁEZ VILCHES, NATALIA FRANCISCA</t>
  </si>
  <si>
    <t>Talleres JECD y Robótica</t>
  </si>
  <si>
    <t>TOTAL HORAS PEDAGÓGICAS ASIGNADAS AL CURSO</t>
  </si>
  <si>
    <t>✓ 100% CUADRADO</t>
  </si>
  <si>
    <t>PROGRAMA DE INTEGRACIÓN ESCOLAR (PIE) – DECRETO 170 / 83</t>
  </si>
  <si>
    <t>RBD: 3887 - LICEO BICENTENARIO DE EXCELENCIA PUEBLO SECO | CO-DOCENCIA, AULA DE RECURSOS Y EQUIPO MULTIPROFESIONAL</t>
  </si>
  <si>
    <t>SECCIÓN A: DOCENTES DE EDUCACIÓN DIFERENCIAL (CO-DOCENCIA Y AULA DE RECURSOS)</t>
  </si>
  <si>
    <t>Hrs Contrato PIE</t>
  </si>
  <si>
    <t>Hrs Co-docencia Aula</t>
  </si>
  <si>
    <t>Hrs Aula de Recursos</t>
  </si>
  <si>
    <t>Hrs Planificación Colab.</t>
  </si>
  <si>
    <t>Total Hrs Asignadas</t>
  </si>
  <si>
    <t>Cursos Focalizados</t>
  </si>
  <si>
    <t>Financiamiento</t>
  </si>
  <si>
    <t>Estado Cuadratura</t>
  </si>
  <si>
    <t>15.111.222-3</t>
  </si>
  <si>
    <t>TOLEDO MORAGA, ANDREA SOLEDAD</t>
  </si>
  <si>
    <t>1° Básico A, 2° Básico A</t>
  </si>
  <si>
    <t>Subvención PIE</t>
  </si>
  <si>
    <t>16.222.333-4</t>
  </si>
  <si>
    <t>URRUTIA PALMA, CARLA VALERIA</t>
  </si>
  <si>
    <t>3° Básico A, 4° Básico A</t>
  </si>
  <si>
    <t>17.333.444-5</t>
  </si>
  <si>
    <t>VALENZUELA TAPIA, FRANCISCA BELÉN</t>
  </si>
  <si>
    <t>5° a 8° Básico</t>
  </si>
  <si>
    <t>18.444.555-6</t>
  </si>
  <si>
    <t>YÁÑEZ CASTRO, JOSÉ TOMÁS</t>
  </si>
  <si>
    <t>1° a 4° Medio TP</t>
  </si>
  <si>
    <t>SUBTOTAL HORAS DOCENTES PIE</t>
  </si>
  <si>
    <t>Subv. PIE</t>
  </si>
  <si>
    <t>✓ 176 HRS CUADRADAS</t>
  </si>
  <si>
    <t>SECCIÓN B: PROFESIONALES DE APOYO PIE / DUPLA PSICOSOCIAL (NO DOCENTES - LEY 21.109 / DTO. 170)</t>
  </si>
  <si>
    <t>Cargo Canónico DEP</t>
  </si>
  <si>
    <t>Estamento</t>
  </si>
  <si>
    <t>Vía Financiamiento</t>
  </si>
  <si>
    <t>Atención Principal</t>
  </si>
  <si>
    <t>Frecuencia Intervención</t>
  </si>
  <si>
    <t>Estado Registro</t>
  </si>
  <si>
    <t>16.555.666-7</t>
  </si>
  <si>
    <t>ZAPATA MEJÍAS, VALENTINA ANDREA</t>
  </si>
  <si>
    <t>Psicólogo</t>
  </si>
  <si>
    <t>Profesional</t>
  </si>
  <si>
    <t>Evaluación WISC-V, PACI y apoyo socioemocional</t>
  </si>
  <si>
    <t>Semanal individual/grupal</t>
  </si>
  <si>
    <t>✓ Activo</t>
  </si>
  <si>
    <t>17.666.777-8</t>
  </si>
  <si>
    <t>ALBORNOZ CANALES, FELIPE IGNACIO</t>
  </si>
  <si>
    <t>Fonoaudiólogo/a</t>
  </si>
  <si>
    <t>Trastorno Específico del Lenguaje (TEL)</t>
  </si>
  <si>
    <t>Sesiones fonoaudiológicas</t>
  </si>
  <si>
    <t>18.777.888-9</t>
  </si>
  <si>
    <t>BASTÍAS MORALES, CONSTANZA DANIELA</t>
  </si>
  <si>
    <t>Terapeuta ocupacional</t>
  </si>
  <si>
    <t>Integración sensorial y autonomía escolar</t>
  </si>
  <si>
    <t>Terapia ocupacional sala PIE</t>
  </si>
  <si>
    <t>15.888.999-0</t>
  </si>
  <si>
    <t>CERDA FIGUEROA, MATÍAS EDUARDO</t>
  </si>
  <si>
    <t>Trabajador  Social</t>
  </si>
  <si>
    <t>Dupla Psicosocial, visitas domiciliarias y red</t>
  </si>
  <si>
    <t>Atención casos vulnerables</t>
  </si>
  <si>
    <t>19.000.111-2</t>
  </si>
  <si>
    <t>DONOSO SALGADO, CAMILA ALEJANDRA</t>
  </si>
  <si>
    <t>Asistente técnico de Educación Diferencial</t>
  </si>
  <si>
    <t>Técnico</t>
  </si>
  <si>
    <t>Apoyo en aula de recursos y materiales NEEP</t>
  </si>
  <si>
    <t>Acompañamiento en sala</t>
  </si>
  <si>
    <t>SUBTOTAL HORAS PROFESIONALES DE APOYO</t>
  </si>
  <si>
    <t>✓ 192 HRS EFECTIVAS</t>
  </si>
  <si>
    <t>ASISTENTES DE LA EDUCACIÓN (LEY 21.109) – 17 CARGOS CANÓNICOS OFICIALES DEP</t>
  </si>
  <si>
    <t>RBD: 3887 - LICEO BICENTENARIO DE EXCELENCIA PUEBLO SECO | DESGLOSE POR VÍA DE FINANCIAMIENTO</t>
  </si>
  <si>
    <t>Estamento Ley 21.109</t>
  </si>
  <si>
    <t>Subv. Gral Indef.</t>
  </si>
  <si>
    <t>Subv. Gral Plazo Fijo</t>
  </si>
  <si>
    <t>SEP Indef.</t>
  </si>
  <si>
    <t>SEP Plazo Fijo</t>
  </si>
  <si>
    <t>PIE</t>
  </si>
  <si>
    <t>Observaciones</t>
  </si>
  <si>
    <t>14.587.990-6</t>
  </si>
  <si>
    <t>DÍAZ PUAS, LUISA ESTER</t>
  </si>
  <si>
    <t>Asistentes de aula</t>
  </si>
  <si>
    <t>Asistente de sala en 1° y 2° Básico.</t>
  </si>
  <si>
    <t>15.698.741-2</t>
  </si>
  <si>
    <t>ESPINOZA RIVAS, MARGARITA ROSA</t>
  </si>
  <si>
    <t>Asistente en Educación Parvularia NT1 y NT2.</t>
  </si>
  <si>
    <t>11.874.521-3</t>
  </si>
  <si>
    <t>FLORES VENEGAS, JOSÉ MIGUEL</t>
  </si>
  <si>
    <t>Administrativo</t>
  </si>
  <si>
    <t>Inspectores</t>
  </si>
  <si>
    <t>Inspector de patio y control de asistencia.</t>
  </si>
  <si>
    <t>12.985.632-4</t>
  </si>
  <si>
    <t>GUTIÉRREZ MORA, PEDRO PABLO</t>
  </si>
  <si>
    <t>Inspector de patio enseñanza media.</t>
  </si>
  <si>
    <t>13.096.743-5</t>
  </si>
  <si>
    <t>HERRERA BUSTOS, ANA MARÍA</t>
  </si>
  <si>
    <t>Secretaria</t>
  </si>
  <si>
    <t>Secretaria de Dirección y atención público.</t>
  </si>
  <si>
    <t>14.107.854-6</t>
  </si>
  <si>
    <t>INOSTROZA PARRA, CARMEN GLORIA</t>
  </si>
  <si>
    <t>Administrativos</t>
  </si>
  <si>
    <t>Administrativa de finanzas y rendiciones.</t>
  </si>
  <si>
    <t>10.218.965-7</t>
  </si>
  <si>
    <t>JIMÉNEZ SOTO, LUIS ALBERTO</t>
  </si>
  <si>
    <t>Auxiliar</t>
  </si>
  <si>
    <t>Auxiliares</t>
  </si>
  <si>
    <t>Auxiliar de aseo y servicios menores.</t>
  </si>
  <si>
    <t>11.329.076-8</t>
  </si>
  <si>
    <t>LARA CIFUENTES, ROSA HERMINIA</t>
  </si>
  <si>
    <t>Auxiliar de aseo pabellón básica.</t>
  </si>
  <si>
    <t>12.430.187-9</t>
  </si>
  <si>
    <t>MENDOZA ROJAS, MANUEL ANTONIO</t>
  </si>
  <si>
    <t>Auxiliar de aseo pabellón media.</t>
  </si>
  <si>
    <t>13.541.298-0</t>
  </si>
  <si>
    <t>NÚÑEZ ALARCÓN, JUAN CARLOS</t>
  </si>
  <si>
    <t>Nocheros</t>
  </si>
  <si>
    <t>Cuidador nocturno y seguridad del recinto.</t>
  </si>
  <si>
    <t>14.652.309-1</t>
  </si>
  <si>
    <t>ORTIZ PINO, FRANCISCO JAVIER</t>
  </si>
  <si>
    <t>Conductores Auxliar</t>
  </si>
  <si>
    <t>Conductor furgón transporte escolar rural.</t>
  </si>
  <si>
    <t>15.763.410-2</t>
  </si>
  <si>
    <t>POBLETE VERA, MARCO AURELIO</t>
  </si>
  <si>
    <t>Maestros</t>
  </si>
  <si>
    <t>Maestro mantención infraestructura y gasfitería.</t>
  </si>
  <si>
    <t>16.874.521-3</t>
  </si>
  <si>
    <t>QUIROZ MORALES, DANIELA PAZ</t>
  </si>
  <si>
    <t>Enfermero/TENS/Asistente con capacitación</t>
  </si>
  <si>
    <t>TENS sala primeros auxilios y salud escolar.</t>
  </si>
  <si>
    <t>17.985.632-4</t>
  </si>
  <si>
    <t>RAMÍREZ CASTILLO, SEBASTIÁN ANDRÉS</t>
  </si>
  <si>
    <t>Comunicaciones</t>
  </si>
  <si>
    <t>Gestor CRA, medios digitales y redes SEP.</t>
  </si>
  <si>
    <t>18.096.743-5</t>
  </si>
  <si>
    <t>SANDOVAL BRAVO, MARÍA JOSÉ</t>
  </si>
  <si>
    <t>Técnico de apoyo diferencial aula PIE.</t>
  </si>
  <si>
    <t>TOTALES ASISTENTES DE LA EDUCACIÓN</t>
  </si>
  <si>
    <t>✓ 660 HRS EFECTIVAS</t>
  </si>
  <si>
    <t>TABLAS DE PARÁMETROS NORMATIVOS Y LISTAS DESPLEGABLES DEL SISTEMA</t>
  </si>
  <si>
    <t>ASIGNATURAS MINEDUC</t>
  </si>
  <si>
    <t>17 CARGOS CANÓNICOS DEP (AAEE)</t>
  </si>
  <si>
    <t>CARGOS DIRECTIVOS Y TÉCNICOS</t>
  </si>
  <si>
    <t>TABLA 60/40 (VULN &gt;80%)</t>
  </si>
  <si>
    <t>HRS AULA MÁX</t>
  </si>
  <si>
    <t>HRS NO LECTIVAS</t>
  </si>
  <si>
    <t>44 hrs contrato</t>
  </si>
  <si>
    <t>Subdirector</t>
  </si>
  <si>
    <t>42 hrs contrato</t>
  </si>
  <si>
    <t>40 hrs contrato</t>
  </si>
  <si>
    <t>Historia, Geografía y Cs. Sociales</t>
  </si>
  <si>
    <t>38 hrs contrato</t>
  </si>
  <si>
    <t>Idioma Extranjero Inglés</t>
  </si>
  <si>
    <t>Asistente social</t>
  </si>
  <si>
    <t>36 hrs contrato</t>
  </si>
  <si>
    <t>Kinesiólogo/a</t>
  </si>
  <si>
    <t>34 hrs contrato</t>
  </si>
  <si>
    <t>Artes Visuales</t>
  </si>
  <si>
    <t>32 hrs contrato</t>
  </si>
  <si>
    <t>Música</t>
  </si>
  <si>
    <t>30 hrs contrato</t>
  </si>
  <si>
    <t>Tecnología</t>
  </si>
  <si>
    <t>Coordinador de Ciclo</t>
  </si>
  <si>
    <t>28 hrs contrato</t>
  </si>
  <si>
    <t>Orientación</t>
  </si>
  <si>
    <t>26 hrs contrato</t>
  </si>
  <si>
    <t>Religión</t>
  </si>
  <si>
    <t>24 hrs contrato</t>
  </si>
  <si>
    <t>Filosofía</t>
  </si>
  <si>
    <t>22 hrs contrato</t>
  </si>
  <si>
    <t>Educación Ciudadana</t>
  </si>
  <si>
    <t>Ciencias para la Ciudadanía</t>
  </si>
  <si>
    <t>Diferenciado TP Agropecuaria</t>
  </si>
  <si>
    <t>Talleres JECD Libre Disposición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</si>
</sst>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FFFFFF"/>
      <sz val="10"/>
      <name val="Calibri"/>
    </font>
    <font>
      <b/>
      <color rgb="0F172A"/>
      <sz val="9.5"/>
      <name val="Calibri"/>
    </font>
    <font>
      <b/>
      <sz val="9"/>
    </font>
    <font>
      <sz val="9"/>
    </font>
    <font>
      <b/>
      <color rgb="FFFFFF"/>
      <sz val="9.5"/>
      <name val="Calibri"/>
    </font>
    <font>
      <color rgb="1E293B"/>
      <sz val="9.5"/>
      <name val="Calibri"/>
    </font>
    <font>
      <b/>
      <color rgb="065F46"/>
      <sz val="9.5"/>
      <name val="Calibri"/>
    </font>
    <font>
      <i/>
      <sz val="9"/>
      <name val="Calibri"/>
    </font>
    <font>
      <color rgb="334155"/>
      <sz val="9"/>
      <name val="Calibri"/>
    </font>
    <font>
      <b/>
      <color rgb="065F46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002B49"/>
      </patternFill>
    </fill>
    <fill>
      <patternFill patternType="solid">
        <fgColor rgb="004B7A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475569"/>
      </top>
      <bottom style="double">
        <color rgb="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/>
    <xf numFmtId="0" fontId="5" fillId="4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J34"/>
  <sheetViews>
    <sheetView workbookViewId="0"/>
  </sheetViews>
  <sheetFormatPr defaultRowHeight="15" outlineLevelRow="0" outlineLevelCol="0" x14ac:dyDescent="55"/>
  <cols>
    <col min="1" max="1" width="40" customWidth="1"/>
    <col min="2" max="2" width="16" customWidth="1"/>
    <col min="3" max="3" width="22" customWidth="1"/>
    <col min="4" max="4" width="20" customWidth="1"/>
    <col min="5" max="5" width="18" customWidth="1"/>
    <col min="6" max="6" width="16" customWidth="1"/>
    <col min="7" max="7" width="2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>
        <v>3887</v>
      </c>
      <c r="C5" s="4" t="s">
        <v>4</v>
      </c>
      <c r="D5" s="5" t="s">
        <v>5</v>
      </c>
    </row>
    <row r="6" spans="1:4" x14ac:dyDescent="0.25">
      <c r="A6" s="4" t="s">
        <v>6</v>
      </c>
      <c r="B6" s="4" t="s">
        <v>7</v>
      </c>
      <c r="C6" s="4" t="s">
        <v>8</v>
      </c>
      <c r="D6" s="5" t="s">
        <v>9</v>
      </c>
    </row>
    <row r="7" spans="1:4" x14ac:dyDescent="0.25">
      <c r="A7" s="4" t="s">
        <v>10</v>
      </c>
      <c r="B7" s="5" t="s">
        <v>11</v>
      </c>
      <c r="C7" s="4" t="s">
        <v>12</v>
      </c>
      <c r="D7" s="5" t="s">
        <v>13</v>
      </c>
    </row>
    <row r="8" spans="1:4" x14ac:dyDescent="0.25">
      <c r="A8" s="4" t="s">
        <v>14</v>
      </c>
      <c r="B8" s="5" t="s">
        <v>15</v>
      </c>
      <c r="C8" s="4" t="s">
        <v>16</v>
      </c>
      <c r="D8" s="5" t="s">
        <v>17</v>
      </c>
    </row>
    <row r="10" spans="1:7" x14ac:dyDescent="0.25">
      <c r="A10" s="3" t="s">
        <v>18</v>
      </c>
      <c r="B10" s="3"/>
      <c r="C10" s="3"/>
      <c r="D10" s="3"/>
      <c r="E10" s="3"/>
      <c r="F10" s="3"/>
      <c r="G10" s="3"/>
    </row>
    <row r="11" ht="24" customHeight="1" spans="1:7" x14ac:dyDescent="0.25">
      <c r="A11" s="6" t="s">
        <v>19</v>
      </c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</row>
    <row r="12" ht="20" customHeight="1" spans="1:7" x14ac:dyDescent="0.25">
      <c r="A12" s="7" t="s">
        <v>26</v>
      </c>
      <c r="B12" s="8">
        <f>COUNTA('4. Docentes de Aula'!B10:B27)</f>
      </c>
      <c r="C12" s="8">
        <f>SUM('4. Docentes de Aula'!F10:F27)</f>
      </c>
      <c r="D12" s="8">
        <f>SUM('4. Docentes de Aula'!G10:G27)</f>
      </c>
      <c r="E12" s="8">
        <f>SUM('4. Docentes de Aula'!H10:H27)</f>
      </c>
      <c r="F12" s="8">
        <f>SUM('4. Docentes de Aula'!F10:F27)-SUM('4. Docentes de Aula'!G10:G27)-SUM('4. Docentes de Aula'!H10:H27)</f>
      </c>
      <c r="G12" s="9" t="s">
        <v>27</v>
      </c>
    </row>
    <row r="13" ht="20" customHeight="1" spans="1:7" x14ac:dyDescent="0.25">
      <c r="A13" s="7" t="s">
        <v>28</v>
      </c>
      <c r="B13" s="8">
        <f>COUNTA('3. Directivos y Tecnicos'!B10:B16)</f>
      </c>
      <c r="C13" s="8">
        <f>SUM('3. Directivos y Tecnicos'!E10:E16)</f>
      </c>
      <c r="D13" s="8">
        <v>0</v>
      </c>
      <c r="E13" s="8">
        <f>SUM('3. Directivos y Tecnicos'!F10:F16)</f>
      </c>
      <c r="F13" s="8">
        <v>0</v>
      </c>
      <c r="G13" s="9" t="s">
        <v>29</v>
      </c>
    </row>
    <row r="14" ht="20" customHeight="1" spans="1:7" x14ac:dyDescent="0.25">
      <c r="A14" s="7" t="s">
        <v>30</v>
      </c>
      <c r="B14" s="8">
        <f>COUNTA('5. Equipo PIE'!B10:B13)</f>
      </c>
      <c r="C14" s="8">
        <f>SUM('5. Equipo PIE'!D10:D13)</f>
      </c>
      <c r="D14" s="8">
        <f>SUM('5. Equipo PIE'!E10:E13)</f>
      </c>
      <c r="E14" s="8">
        <f>SUM('5. Equipo PIE'!F10:F13)</f>
      </c>
      <c r="F14" s="8">
        <v>0</v>
      </c>
      <c r="G14" s="9" t="s">
        <v>31</v>
      </c>
    </row>
    <row r="15" ht="20" customHeight="1" spans="1:7" x14ac:dyDescent="0.25">
      <c r="A15" s="7" t="s">
        <v>32</v>
      </c>
      <c r="B15" s="8">
        <f>COUNTA('5. Equipo PIE'!B19:B23)</f>
      </c>
      <c r="C15" s="8">
        <f>SUM('5. Equipo PIE'!D19:D23)</f>
      </c>
      <c r="D15" s="8">
        <f>SUM('5. Equipo PIE'!D19:D23)</f>
      </c>
      <c r="E15" s="8">
        <v>0</v>
      </c>
      <c r="F15" s="8">
        <v>0</v>
      </c>
      <c r="G15" s="9" t="s">
        <v>33</v>
      </c>
    </row>
    <row r="16" ht="20" customHeight="1" spans="1:7" x14ac:dyDescent="0.25">
      <c r="A16" s="7" t="s">
        <v>34</v>
      </c>
      <c r="B16" s="8">
        <f>COUNTA('6. Asistentes Educacion'!B10:B24)</f>
      </c>
      <c r="C16" s="8">
        <f>SUM('6. Asistentes Educacion'!F10:F24)</f>
      </c>
      <c r="D16" s="8">
        <f>SUM('6. Asistentes Educacion'!F10:F24)</f>
      </c>
      <c r="E16" s="8">
        <v>0</v>
      </c>
      <c r="F16" s="8">
        <v>0</v>
      </c>
      <c r="G16" s="9" t="s">
        <v>35</v>
      </c>
    </row>
    <row r="17" ht="20" customHeight="1" spans="1:7" x14ac:dyDescent="0.25">
      <c r="A17" s="10" t="s">
        <v>36</v>
      </c>
      <c r="B17" s="11">
        <f>SUM(B12:B16)</f>
      </c>
      <c r="C17" s="11">
        <f>SUM(C12:C16)</f>
      </c>
      <c r="D17" s="11">
        <f>SUM(D12:D16)</f>
      </c>
      <c r="E17" s="11">
        <f>SUM(E12:E16)</f>
      </c>
      <c r="F17" s="11">
        <f>SUM(F12:F16)</f>
      </c>
      <c r="G17" s="11" t="s">
        <v>37</v>
      </c>
    </row>
    <row r="19" spans="1:7" x14ac:dyDescent="0.25">
      <c r="A19" s="3" t="s">
        <v>38</v>
      </c>
      <c r="B19" s="3"/>
      <c r="C19" s="3"/>
      <c r="D19" s="3"/>
      <c r="E19" s="3"/>
      <c r="F19" s="3"/>
      <c r="G19" s="3"/>
    </row>
    <row r="20" ht="22" customHeight="1" spans="1:7" x14ac:dyDescent="0.25">
      <c r="A20" s="12" t="s">
        <v>39</v>
      </c>
      <c r="B20" s="12"/>
      <c r="C20" s="12" t="s">
        <v>40</v>
      </c>
      <c r="D20" s="12" t="s">
        <v>41</v>
      </c>
      <c r="E20" s="12" t="s">
        <v>42</v>
      </c>
      <c r="F20" s="12"/>
      <c r="G20" s="12"/>
    </row>
    <row r="21" ht="20" customHeight="1" spans="1:7" x14ac:dyDescent="0.25">
      <c r="A21" s="13" t="s">
        <v>43</v>
      </c>
      <c r="B21" s="13"/>
      <c r="C21" s="14" t="s">
        <v>44</v>
      </c>
      <c r="D21" s="9" t="s">
        <v>45</v>
      </c>
      <c r="E21" s="15" t="s">
        <v>46</v>
      </c>
      <c r="F21" s="15"/>
      <c r="G21" s="15"/>
    </row>
    <row r="22" ht="20" customHeight="1" spans="1:7" x14ac:dyDescent="0.25">
      <c r="A22" s="13" t="s">
        <v>47</v>
      </c>
      <c r="B22" s="13"/>
      <c r="C22" s="14" t="s">
        <v>48</v>
      </c>
      <c r="D22" s="9" t="s">
        <v>45</v>
      </c>
      <c r="E22" s="15" t="s">
        <v>49</v>
      </c>
      <c r="F22" s="15"/>
      <c r="G22" s="15"/>
    </row>
    <row r="23" ht="20" customHeight="1" spans="1:7" x14ac:dyDescent="0.25">
      <c r="A23" s="13" t="s">
        <v>50</v>
      </c>
      <c r="B23" s="13"/>
      <c r="C23" s="14" t="s">
        <v>51</v>
      </c>
      <c r="D23" s="9" t="s">
        <v>52</v>
      </c>
      <c r="E23" s="15" t="s">
        <v>53</v>
      </c>
      <c r="F23" s="15"/>
      <c r="G23" s="15"/>
    </row>
    <row r="24" ht="20" customHeight="1" spans="1:7" x14ac:dyDescent="0.25">
      <c r="A24" s="13" t="s">
        <v>54</v>
      </c>
      <c r="B24" s="13"/>
      <c r="C24" s="14" t="s">
        <v>55</v>
      </c>
      <c r="D24" s="9" t="s">
        <v>45</v>
      </c>
      <c r="E24" s="15" t="s">
        <v>56</v>
      </c>
      <c r="F24" s="15"/>
      <c r="G24" s="15"/>
    </row>
    <row r="25" ht="20" customHeight="1" spans="1:7" x14ac:dyDescent="0.25">
      <c r="A25" s="13" t="s">
        <v>57</v>
      </c>
      <c r="B25" s="13"/>
      <c r="C25" s="14" t="s">
        <v>58</v>
      </c>
      <c r="D25" s="9" t="s">
        <v>45</v>
      </c>
      <c r="E25" s="15" t="s">
        <v>59</v>
      </c>
      <c r="F25" s="15"/>
      <c r="G25" s="15"/>
    </row>
    <row r="28" spans="1:7" x14ac:dyDescent="0.25">
      <c r="A28" s="3" t="s">
        <v>60</v>
      </c>
      <c r="B28" s="3"/>
      <c r="C28" s="3"/>
      <c r="D28" s="3"/>
      <c r="E28" s="3"/>
      <c r="F28" s="3"/>
      <c r="G28" s="3"/>
    </row>
    <row r="29" ht="18" customHeight="1" spans="1:7" x14ac:dyDescent="0.25">
      <c r="A29" s="16" t="s">
        <v>61</v>
      </c>
      <c r="B29" s="16"/>
      <c r="C29" s="16"/>
      <c r="D29" s="16"/>
      <c r="E29" s="16"/>
      <c r="F29" s="16"/>
      <c r="G29" s="16"/>
    </row>
    <row r="30" ht="18" customHeight="1" spans="1:7" x14ac:dyDescent="0.25">
      <c r="A30" s="16" t="s">
        <v>62</v>
      </c>
      <c r="B30" s="16"/>
      <c r="C30" s="16"/>
      <c r="D30" s="16"/>
      <c r="E30" s="16"/>
      <c r="F30" s="16"/>
      <c r="G30" s="16"/>
    </row>
    <row r="31" ht="18" customHeight="1" spans="1:7" x14ac:dyDescent="0.25">
      <c r="A31" s="16" t="s">
        <v>63</v>
      </c>
      <c r="B31" s="16"/>
      <c r="C31" s="16"/>
      <c r="D31" s="16"/>
      <c r="E31" s="16"/>
      <c r="F31" s="16"/>
      <c r="G31" s="16"/>
    </row>
    <row r="32" ht="18" customHeight="1" spans="1:7" x14ac:dyDescent="0.25">
      <c r="A32" s="16" t="s">
        <v>64</v>
      </c>
      <c r="B32" s="16"/>
      <c r="C32" s="16"/>
      <c r="D32" s="16"/>
      <c r="E32" s="16"/>
      <c r="F32" s="16"/>
      <c r="G32" s="16"/>
    </row>
    <row r="33" ht="18" customHeight="1" spans="1:7" x14ac:dyDescent="0.25">
      <c r="A33" s="16" t="s">
        <v>65</v>
      </c>
      <c r="B33" s="16"/>
      <c r="C33" s="16"/>
      <c r="D33" s="16"/>
      <c r="E33" s="16"/>
      <c r="F33" s="16"/>
      <c r="G33" s="16"/>
    </row>
    <row r="34" ht="18" customHeight="1" spans="1:7" x14ac:dyDescent="0.25">
      <c r="A34" s="16" t="s">
        <v>66</v>
      </c>
      <c r="B34" s="16"/>
      <c r="C34" s="16"/>
      <c r="D34" s="16"/>
      <c r="E34" s="16"/>
      <c r="F34" s="16"/>
      <c r="G34" s="16"/>
    </row>
  </sheetData>
  <mergeCells count="24">
    <mergeCell ref="A1:J1"/>
    <mergeCell ref="A2:J2"/>
    <mergeCell ref="A4:D4"/>
    <mergeCell ref="A10:G10"/>
    <mergeCell ref="A19:G19"/>
    <mergeCell ref="A20:B20"/>
    <mergeCell ref="E20:G20"/>
    <mergeCell ref="A21:B21"/>
    <mergeCell ref="E21:G21"/>
    <mergeCell ref="A22:B22"/>
    <mergeCell ref="E22:G22"/>
    <mergeCell ref="A23:B23"/>
    <mergeCell ref="E23:G23"/>
    <mergeCell ref="A24:B24"/>
    <mergeCell ref="E24:G24"/>
    <mergeCell ref="A25:B25"/>
    <mergeCell ref="E25:G25"/>
    <mergeCell ref="A28:G28"/>
    <mergeCell ref="A29:G29"/>
    <mergeCell ref="A30:G30"/>
    <mergeCell ref="A31:G31"/>
    <mergeCell ref="A32:G32"/>
    <mergeCell ref="A33:G33"/>
    <mergeCell ref="A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9488"/>
  </sheetPr>
  <dimension ref="A1:L19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8" customWidth="1"/>
    <col min="4" max="4" width="14" customWidth="1"/>
    <col min="5" max="5" width="18" customWidth="1"/>
    <col min="6" max="6" width="12" customWidth="1"/>
    <col min="7" max="7" width="18" customWidth="1"/>
    <col min="8" max="8" width="20" customWidth="1"/>
    <col min="9" max="9" width="18" customWidth="1"/>
    <col min="10" max="11" width="20" customWidth="1"/>
    <col min="12" max="12" width="18" customWidth="1"/>
  </cols>
  <sheetData>
    <row r="1" ht="28" customHeight="1" spans="1:12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8" customHeight="1" spans="1:12" x14ac:dyDescent="0.25">
      <c r="A4" s="17" t="s">
        <v>69</v>
      </c>
      <c r="B4" s="17" t="s">
        <v>70</v>
      </c>
      <c r="C4" s="17" t="s">
        <v>71</v>
      </c>
      <c r="D4" s="17" t="s">
        <v>72</v>
      </c>
      <c r="E4" s="17" t="s">
        <v>73</v>
      </c>
      <c r="F4" s="17" t="s">
        <v>74</v>
      </c>
      <c r="G4" s="17" t="s">
        <v>75</v>
      </c>
      <c r="H4" s="17" t="s">
        <v>76</v>
      </c>
      <c r="I4" s="17" t="s">
        <v>77</v>
      </c>
      <c r="J4" s="17" t="s">
        <v>78</v>
      </c>
      <c r="K4" s="17" t="s">
        <v>79</v>
      </c>
      <c r="L4" s="17" t="s">
        <v>80</v>
      </c>
    </row>
    <row r="5" ht="19" customHeight="1" spans="1:12" x14ac:dyDescent="0.25">
      <c r="A5" s="8">
        <v>1</v>
      </c>
      <c r="B5" s="8" t="s">
        <v>81</v>
      </c>
      <c r="C5" s="8" t="s">
        <v>82</v>
      </c>
      <c r="D5" s="8" t="s">
        <v>83</v>
      </c>
      <c r="E5" s="8">
        <v>25</v>
      </c>
      <c r="F5" s="8">
        <v>30</v>
      </c>
      <c r="G5" s="8">
        <v>5</v>
      </c>
      <c r="H5" s="8">
        <v>22</v>
      </c>
      <c r="I5" s="8">
        <v>0</v>
      </c>
      <c r="J5" s="8">
        <v>22</v>
      </c>
      <c r="K5" s="8">
        <f>'4. Docentes de Aula'!J28</f>
      </c>
      <c r="L5" s="18" t="s">
        <v>84</v>
      </c>
    </row>
    <row r="6" ht="19" customHeight="1" spans="1:12" x14ac:dyDescent="0.25">
      <c r="A6" s="8">
        <v>2</v>
      </c>
      <c r="B6" s="8" t="s">
        <v>85</v>
      </c>
      <c r="C6" s="8" t="s">
        <v>82</v>
      </c>
      <c r="D6" s="8" t="s">
        <v>83</v>
      </c>
      <c r="E6" s="8">
        <v>28</v>
      </c>
      <c r="F6" s="8">
        <v>30</v>
      </c>
      <c r="G6" s="8">
        <v>5</v>
      </c>
      <c r="H6" s="8">
        <v>22</v>
      </c>
      <c r="I6" s="8">
        <v>0</v>
      </c>
      <c r="J6" s="8">
        <v>22</v>
      </c>
      <c r="K6" s="8">
        <f>'4. Docentes de Aula'!K28</f>
      </c>
      <c r="L6" s="18" t="s">
        <v>84</v>
      </c>
    </row>
    <row r="7" ht="19" customHeight="1" spans="1:12" x14ac:dyDescent="0.25">
      <c r="A7" s="8">
        <v>3</v>
      </c>
      <c r="B7" s="8" t="s">
        <v>86</v>
      </c>
      <c r="C7" s="8" t="s">
        <v>82</v>
      </c>
      <c r="D7" s="8" t="s">
        <v>87</v>
      </c>
      <c r="E7" s="8">
        <v>32</v>
      </c>
      <c r="F7" s="8">
        <v>35</v>
      </c>
      <c r="G7" s="8">
        <v>7</v>
      </c>
      <c r="H7" s="8">
        <v>30</v>
      </c>
      <c r="I7" s="8">
        <v>8</v>
      </c>
      <c r="J7" s="8">
        <v>38</v>
      </c>
      <c r="K7" s="8">
        <f>'4. Docentes de Aula'!L28</f>
      </c>
      <c r="L7" s="18" t="s">
        <v>84</v>
      </c>
    </row>
    <row r="8" ht="19" customHeight="1" spans="1:12" x14ac:dyDescent="0.25">
      <c r="A8" s="8">
        <v>4</v>
      </c>
      <c r="B8" s="8" t="s">
        <v>88</v>
      </c>
      <c r="C8" s="8" t="s">
        <v>82</v>
      </c>
      <c r="D8" s="8" t="s">
        <v>87</v>
      </c>
      <c r="E8" s="8">
        <v>30</v>
      </c>
      <c r="F8" s="8">
        <v>35</v>
      </c>
      <c r="G8" s="8">
        <v>7</v>
      </c>
      <c r="H8" s="8">
        <v>30</v>
      </c>
      <c r="I8" s="8">
        <v>8</v>
      </c>
      <c r="J8" s="8">
        <v>38</v>
      </c>
      <c r="K8" s="8">
        <f>'4. Docentes de Aula'!M28</f>
      </c>
      <c r="L8" s="18" t="s">
        <v>84</v>
      </c>
    </row>
    <row r="9" ht="19" customHeight="1" spans="1:12" x14ac:dyDescent="0.25">
      <c r="A9" s="8">
        <v>5</v>
      </c>
      <c r="B9" s="8" t="s">
        <v>89</v>
      </c>
      <c r="C9" s="8" t="s">
        <v>82</v>
      </c>
      <c r="D9" s="8" t="s">
        <v>87</v>
      </c>
      <c r="E9" s="8">
        <v>33</v>
      </c>
      <c r="F9" s="8">
        <v>35</v>
      </c>
      <c r="G9" s="8">
        <v>7</v>
      </c>
      <c r="H9" s="8">
        <v>30</v>
      </c>
      <c r="I9" s="8">
        <v>8</v>
      </c>
      <c r="J9" s="8">
        <v>38</v>
      </c>
      <c r="K9" s="8">
        <f>'4. Docentes de Aula'!N28</f>
      </c>
      <c r="L9" s="18" t="s">
        <v>84</v>
      </c>
    </row>
    <row r="10" ht="19" customHeight="1" spans="1:12" x14ac:dyDescent="0.25">
      <c r="A10" s="8">
        <v>6</v>
      </c>
      <c r="B10" s="8" t="s">
        <v>90</v>
      </c>
      <c r="C10" s="8" t="s">
        <v>82</v>
      </c>
      <c r="D10" s="8" t="s">
        <v>87</v>
      </c>
      <c r="E10" s="8">
        <v>31</v>
      </c>
      <c r="F10" s="8">
        <v>35</v>
      </c>
      <c r="G10" s="8">
        <v>7</v>
      </c>
      <c r="H10" s="8">
        <v>30</v>
      </c>
      <c r="I10" s="8">
        <v>8</v>
      </c>
      <c r="J10" s="8">
        <v>38</v>
      </c>
      <c r="K10" s="8">
        <f>'4. Docentes de Aula'!O28</f>
      </c>
      <c r="L10" s="18" t="s">
        <v>84</v>
      </c>
    </row>
    <row r="11" ht="19" customHeight="1" spans="1:12" x14ac:dyDescent="0.25">
      <c r="A11" s="8">
        <v>7</v>
      </c>
      <c r="B11" s="8" t="s">
        <v>91</v>
      </c>
      <c r="C11" s="8" t="s">
        <v>82</v>
      </c>
      <c r="D11" s="8" t="s">
        <v>87</v>
      </c>
      <c r="E11" s="8">
        <v>34</v>
      </c>
      <c r="F11" s="8">
        <v>38</v>
      </c>
      <c r="G11" s="8">
        <v>7</v>
      </c>
      <c r="H11" s="8">
        <v>31</v>
      </c>
      <c r="I11" s="8">
        <v>7</v>
      </c>
      <c r="J11" s="8">
        <v>38</v>
      </c>
      <c r="K11" s="8">
        <f>'4. Docentes de Aula'!P28</f>
      </c>
      <c r="L11" s="18" t="s">
        <v>84</v>
      </c>
    </row>
    <row r="12" ht="19" customHeight="1" spans="1:12" x14ac:dyDescent="0.25">
      <c r="A12" s="8">
        <v>8</v>
      </c>
      <c r="B12" s="8" t="s">
        <v>92</v>
      </c>
      <c r="C12" s="8" t="s">
        <v>82</v>
      </c>
      <c r="D12" s="8" t="s">
        <v>87</v>
      </c>
      <c r="E12" s="8">
        <v>35</v>
      </c>
      <c r="F12" s="8">
        <v>38</v>
      </c>
      <c r="G12" s="8">
        <v>7</v>
      </c>
      <c r="H12" s="8">
        <v>31</v>
      </c>
      <c r="I12" s="8">
        <v>7</v>
      </c>
      <c r="J12" s="8">
        <v>38</v>
      </c>
      <c r="K12" s="8">
        <f>'4. Docentes de Aula'!Q28</f>
      </c>
      <c r="L12" s="18" t="s">
        <v>84</v>
      </c>
    </row>
    <row r="13" ht="19" customHeight="1" spans="1:12" x14ac:dyDescent="0.25">
      <c r="A13" s="8">
        <v>9</v>
      </c>
      <c r="B13" s="8" t="s">
        <v>93</v>
      </c>
      <c r="C13" s="8" t="s">
        <v>82</v>
      </c>
      <c r="D13" s="8" t="s">
        <v>87</v>
      </c>
      <c r="E13" s="8">
        <v>36</v>
      </c>
      <c r="F13" s="8">
        <v>40</v>
      </c>
      <c r="G13" s="8">
        <v>7</v>
      </c>
      <c r="H13" s="8">
        <v>32</v>
      </c>
      <c r="I13" s="8">
        <v>6</v>
      </c>
      <c r="J13" s="8">
        <v>38</v>
      </c>
      <c r="K13" s="8">
        <f>'4. Docentes de Aula'!R28</f>
      </c>
      <c r="L13" s="18" t="s">
        <v>84</v>
      </c>
    </row>
    <row r="14" ht="19" customHeight="1" spans="1:12" x14ac:dyDescent="0.25">
      <c r="A14" s="8">
        <v>10</v>
      </c>
      <c r="B14" s="8" t="s">
        <v>94</v>
      </c>
      <c r="C14" s="8" t="s">
        <v>82</v>
      </c>
      <c r="D14" s="8" t="s">
        <v>87</v>
      </c>
      <c r="E14" s="8">
        <v>35</v>
      </c>
      <c r="F14" s="8">
        <v>40</v>
      </c>
      <c r="G14" s="8">
        <v>7</v>
      </c>
      <c r="H14" s="8">
        <v>32</v>
      </c>
      <c r="I14" s="8">
        <v>6</v>
      </c>
      <c r="J14" s="8">
        <v>38</v>
      </c>
      <c r="K14" s="8">
        <f>'4. Docentes de Aula'!S28</f>
      </c>
      <c r="L14" s="18" t="s">
        <v>84</v>
      </c>
    </row>
    <row r="15" ht="19" customHeight="1" spans="1:12" x14ac:dyDescent="0.25">
      <c r="A15" s="8">
        <v>11</v>
      </c>
      <c r="B15" s="8" t="s">
        <v>95</v>
      </c>
      <c r="C15" s="8" t="s">
        <v>82</v>
      </c>
      <c r="D15" s="8" t="s">
        <v>87</v>
      </c>
      <c r="E15" s="8">
        <v>38</v>
      </c>
      <c r="F15" s="8">
        <v>42</v>
      </c>
      <c r="G15" s="8">
        <v>6</v>
      </c>
      <c r="H15" s="8">
        <v>36</v>
      </c>
      <c r="I15" s="8">
        <v>6</v>
      </c>
      <c r="J15" s="8">
        <v>42</v>
      </c>
      <c r="K15" s="8">
        <f>'4. Docentes de Aula'!T28</f>
      </c>
      <c r="L15" s="18" t="s">
        <v>84</v>
      </c>
    </row>
    <row r="16" ht="19" customHeight="1" spans="1:12" x14ac:dyDescent="0.25">
      <c r="A16" s="8">
        <v>12</v>
      </c>
      <c r="B16" s="8" t="s">
        <v>96</v>
      </c>
      <c r="C16" s="8" t="s">
        <v>82</v>
      </c>
      <c r="D16" s="8" t="s">
        <v>87</v>
      </c>
      <c r="E16" s="8">
        <v>37</v>
      </c>
      <c r="F16" s="8">
        <v>42</v>
      </c>
      <c r="G16" s="8">
        <v>6</v>
      </c>
      <c r="H16" s="8">
        <v>36</v>
      </c>
      <c r="I16" s="8">
        <v>6</v>
      </c>
      <c r="J16" s="8">
        <v>42</v>
      </c>
      <c r="K16" s="8">
        <f>'4. Docentes de Aula'!U28</f>
      </c>
      <c r="L16" s="18" t="s">
        <v>84</v>
      </c>
    </row>
    <row r="17" ht="19" customHeight="1" spans="1:12" x14ac:dyDescent="0.25">
      <c r="A17" s="8">
        <v>13</v>
      </c>
      <c r="B17" s="8" t="s">
        <v>97</v>
      </c>
      <c r="C17" s="8" t="s">
        <v>82</v>
      </c>
      <c r="D17" s="8" t="s">
        <v>87</v>
      </c>
      <c r="E17" s="8">
        <v>32</v>
      </c>
      <c r="F17" s="8">
        <v>35</v>
      </c>
      <c r="G17" s="8">
        <v>5</v>
      </c>
      <c r="H17" s="8">
        <v>36</v>
      </c>
      <c r="I17" s="8">
        <v>6</v>
      </c>
      <c r="J17" s="8">
        <v>42</v>
      </c>
      <c r="K17" s="8">
        <f>'4. Docentes de Aula'!V28</f>
      </c>
      <c r="L17" s="18" t="s">
        <v>84</v>
      </c>
    </row>
    <row r="18" ht="19" customHeight="1" spans="1:12" x14ac:dyDescent="0.25">
      <c r="A18" s="8">
        <v>14</v>
      </c>
      <c r="B18" s="8" t="s">
        <v>98</v>
      </c>
      <c r="C18" s="8" t="s">
        <v>82</v>
      </c>
      <c r="D18" s="8" t="s">
        <v>87</v>
      </c>
      <c r="E18" s="8">
        <v>30</v>
      </c>
      <c r="F18" s="8">
        <v>35</v>
      </c>
      <c r="G18" s="8">
        <v>5</v>
      </c>
      <c r="H18" s="8">
        <v>36</v>
      </c>
      <c r="I18" s="8">
        <v>6</v>
      </c>
      <c r="J18" s="8">
        <v>42</v>
      </c>
      <c r="K18" s="8">
        <f>'4. Docentes de Aula'!W28</f>
      </c>
      <c r="L18" s="18" t="s">
        <v>84</v>
      </c>
    </row>
    <row r="19" ht="22" customHeight="1" spans="1:12" x14ac:dyDescent="0.25">
      <c r="A19" s="11" t="s">
        <v>99</v>
      </c>
      <c r="B19" s="11"/>
      <c r="C19" s="11"/>
      <c r="D19" s="11"/>
      <c r="E19" s="11">
        <f>SUM(E5:E18)</f>
      </c>
      <c r="F19" s="11">
        <f>SUM(F5:F18)</f>
      </c>
      <c r="G19" s="11">
        <f>SUM(G5:G18)</f>
      </c>
      <c r="H19" s="11">
        <f>SUM(H5:H18)</f>
      </c>
      <c r="I19" s="11">
        <f>SUM(I5:I18)</f>
      </c>
      <c r="J19" s="11">
        <f>SUM(J5:J18)</f>
      </c>
      <c r="K19" s="11">
        <f>SUM(K5:K18)</f>
      </c>
      <c r="L19" s="11" t="s">
        <v>100</v>
      </c>
    </row>
  </sheetData>
  <mergeCells count="3">
    <mergeCell ref="A1:L1"/>
    <mergeCell ref="A2:L2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I12"/>
  <sheetViews>
    <sheetView workbookViewId="0"/>
  </sheetViews>
  <sheetFormatPr defaultRowHeight="15" outlineLevelRow="0" outlineLevelCol="0" x14ac:dyDescent="55"/>
  <cols>
    <col min="1" max="1" width="6" customWidth="1"/>
    <col min="2" max="2" width="16" customWidth="1"/>
    <col min="3" max="3" width="32" customWidth="1"/>
    <col min="4" max="4" width="28" customWidth="1"/>
    <col min="5" max="5" width="16" customWidth="1"/>
    <col min="6" max="7" width="22" customWidth="1"/>
    <col min="8" max="8" width="24" customWidth="1"/>
    <col min="9" max="9" width="34" customWidth="1"/>
  </cols>
  <sheetData>
    <row r="1" ht="28" customHeight="1" spans="1:9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102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6" t="s">
        <v>69</v>
      </c>
      <c r="B4" s="6" t="s">
        <v>103</v>
      </c>
      <c r="C4" s="6" t="s">
        <v>104</v>
      </c>
      <c r="D4" s="6" t="s">
        <v>105</v>
      </c>
      <c r="E4" s="6" t="s">
        <v>21</v>
      </c>
      <c r="F4" s="6" t="s">
        <v>106</v>
      </c>
      <c r="G4" s="6" t="s">
        <v>107</v>
      </c>
      <c r="H4" s="6" t="s">
        <v>108</v>
      </c>
      <c r="I4" s="6" t="s">
        <v>109</v>
      </c>
    </row>
    <row r="5" ht="20" customHeight="1" spans="1:9" x14ac:dyDescent="0.25">
      <c r="A5" s="8">
        <v>1</v>
      </c>
      <c r="B5" s="8" t="s">
        <v>110</v>
      </c>
      <c r="C5" s="7" t="s">
        <v>11</v>
      </c>
      <c r="D5" s="8" t="s">
        <v>111</v>
      </c>
      <c r="E5" s="8">
        <v>44</v>
      </c>
      <c r="F5" s="8">
        <v>44</v>
      </c>
      <c r="G5" s="8" t="s">
        <v>112</v>
      </c>
      <c r="H5" s="8" t="s">
        <v>113</v>
      </c>
      <c r="I5" s="7" t="s">
        <v>114</v>
      </c>
    </row>
    <row r="6" ht="20" customHeight="1" spans="1:9" x14ac:dyDescent="0.25">
      <c r="A6" s="8">
        <v>2</v>
      </c>
      <c r="B6" s="8" t="s">
        <v>115</v>
      </c>
      <c r="C6" s="7" t="s">
        <v>116</v>
      </c>
      <c r="D6" s="8" t="s">
        <v>117</v>
      </c>
      <c r="E6" s="8">
        <v>44</v>
      </c>
      <c r="F6" s="8">
        <v>44</v>
      </c>
      <c r="G6" s="8" t="s">
        <v>112</v>
      </c>
      <c r="H6" s="8" t="s">
        <v>118</v>
      </c>
      <c r="I6" s="7" t="s">
        <v>119</v>
      </c>
    </row>
    <row r="7" ht="20" customHeight="1" spans="1:9" x14ac:dyDescent="0.25">
      <c r="A7" s="8">
        <v>3</v>
      </c>
      <c r="B7" s="8" t="s">
        <v>120</v>
      </c>
      <c r="C7" s="7" t="s">
        <v>121</v>
      </c>
      <c r="D7" s="8" t="s">
        <v>122</v>
      </c>
      <c r="E7" s="8">
        <v>44</v>
      </c>
      <c r="F7" s="8">
        <v>44</v>
      </c>
      <c r="G7" s="8" t="s">
        <v>112</v>
      </c>
      <c r="H7" s="8" t="s">
        <v>118</v>
      </c>
      <c r="I7" s="7" t="s">
        <v>123</v>
      </c>
    </row>
    <row r="8" ht="20" customHeight="1" spans="1:9" x14ac:dyDescent="0.25">
      <c r="A8" s="8">
        <v>4</v>
      </c>
      <c r="B8" s="8" t="s">
        <v>124</v>
      </c>
      <c r="C8" s="7" t="s">
        <v>125</v>
      </c>
      <c r="D8" s="8" t="s">
        <v>126</v>
      </c>
      <c r="E8" s="8">
        <v>30</v>
      </c>
      <c r="F8" s="8">
        <v>30</v>
      </c>
      <c r="G8" s="8" t="s">
        <v>112</v>
      </c>
      <c r="H8" s="8" t="s">
        <v>127</v>
      </c>
      <c r="I8" s="7" t="s">
        <v>128</v>
      </c>
    </row>
    <row r="9" ht="20" customHeight="1" spans="1:9" x14ac:dyDescent="0.25">
      <c r="A9" s="8">
        <v>5</v>
      </c>
      <c r="B9" s="8" t="s">
        <v>129</v>
      </c>
      <c r="C9" s="7" t="s">
        <v>130</v>
      </c>
      <c r="D9" s="8" t="s">
        <v>131</v>
      </c>
      <c r="E9" s="8">
        <v>44</v>
      </c>
      <c r="F9" s="8">
        <v>44</v>
      </c>
      <c r="G9" s="8" t="s">
        <v>132</v>
      </c>
      <c r="H9" s="8" t="s">
        <v>127</v>
      </c>
      <c r="I9" s="7" t="s">
        <v>133</v>
      </c>
    </row>
    <row r="10" ht="20" customHeight="1" spans="1:9" x14ac:dyDescent="0.25">
      <c r="A10" s="8">
        <v>6</v>
      </c>
      <c r="B10" s="8" t="s">
        <v>134</v>
      </c>
      <c r="C10" s="7" t="s">
        <v>135</v>
      </c>
      <c r="D10" s="8" t="s">
        <v>136</v>
      </c>
      <c r="E10" s="8">
        <v>30</v>
      </c>
      <c r="F10" s="8">
        <v>30</v>
      </c>
      <c r="G10" s="8" t="s">
        <v>112</v>
      </c>
      <c r="H10" s="8" t="s">
        <v>118</v>
      </c>
      <c r="I10" s="7" t="s">
        <v>137</v>
      </c>
    </row>
    <row r="11" ht="20" customHeight="1" spans="1:9" x14ac:dyDescent="0.25">
      <c r="A11" s="8">
        <v>7</v>
      </c>
      <c r="B11" s="8" t="s">
        <v>138</v>
      </c>
      <c r="C11" s="7" t="s">
        <v>139</v>
      </c>
      <c r="D11" s="8" t="s">
        <v>140</v>
      </c>
      <c r="E11" s="8">
        <v>30</v>
      </c>
      <c r="F11" s="8">
        <v>30</v>
      </c>
      <c r="G11" s="8" t="s">
        <v>112</v>
      </c>
      <c r="H11" s="8" t="s">
        <v>127</v>
      </c>
      <c r="I11" s="7" t="s">
        <v>141</v>
      </c>
    </row>
    <row r="12" spans="1:9" x14ac:dyDescent="0.25">
      <c r="A12" s="11" t="s">
        <v>142</v>
      </c>
      <c r="B12" s="11"/>
      <c r="C12" s="11"/>
      <c r="D12" s="11"/>
      <c r="E12" s="11">
        <f>SUM(E5:E11)</f>
      </c>
      <c r="F12" s="11">
        <f>SUM(F5:F11)</f>
      </c>
      <c r="G12" s="11" t="s">
        <v>143</v>
      </c>
      <c r="H12" s="11" t="s">
        <v>143</v>
      </c>
      <c r="I12" s="11" t="s">
        <v>144</v>
      </c>
    </row>
  </sheetData>
  <mergeCells count="3">
    <mergeCell ref="A1:I1"/>
    <mergeCell ref="A2:I2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AA24"/>
  <sheetViews>
    <sheetView workbookViewId="0"/>
  </sheetViews>
  <sheetFormatPr defaultRowHeight="15" outlineLevelRow="0" outlineLevelCol="0" x14ac:dyDescent="55"/>
  <cols>
    <col min="1" max="1" width="5" customWidth="1"/>
    <col min="2" max="2" width="15" customWidth="1"/>
    <col min="3" max="3" width="32" customWidth="1"/>
    <col min="5" max="5" width="11" customWidth="1"/>
    <col min="6" max="6" width="12" customWidth="1"/>
    <col min="7" max="7" width="13" customWidth="1"/>
    <col min="8" max="8" width="12" customWidth="1"/>
    <col min="9" max="9" width="25" customWidth="1"/>
    <col min="10" max="23" width="7.5" customWidth="1"/>
    <col min="24" max="24" width="11" customWidth="1"/>
    <col min="25" max="25" width="13" customWidth="1"/>
    <col min="27" max="27" width="18" customWidth="1"/>
  </cols>
  <sheetData>
    <row r="1" ht="28" customHeight="1" spans="1:27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0" customHeight="1" spans="1:27" x14ac:dyDescent="0.25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ht="20" customHeight="1" spans="1:27" x14ac:dyDescent="0.25">
      <c r="A4" s="19" t="s">
        <v>147</v>
      </c>
      <c r="B4" s="19"/>
      <c r="C4" s="19"/>
      <c r="D4" s="19"/>
      <c r="E4" s="19"/>
      <c r="F4" s="19"/>
      <c r="G4" s="19"/>
      <c r="H4" s="19"/>
      <c r="I4" s="19"/>
      <c r="J4" s="20" t="s">
        <v>148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 t="s">
        <v>149</v>
      </c>
      <c r="Y4" s="19"/>
      <c r="Z4" s="19"/>
      <c r="AA4" s="19"/>
    </row>
    <row r="5" ht="26" customHeight="1" spans="1:27" x14ac:dyDescent="0.25">
      <c r="A5" s="17" t="s">
        <v>69</v>
      </c>
      <c r="B5" s="17" t="s">
        <v>150</v>
      </c>
      <c r="C5" s="17" t="s">
        <v>104</v>
      </c>
      <c r="D5" s="17" t="s">
        <v>151</v>
      </c>
      <c r="E5" s="17" t="s">
        <v>152</v>
      </c>
      <c r="F5" s="17" t="s">
        <v>153</v>
      </c>
      <c r="G5" s="17" t="s">
        <v>154</v>
      </c>
      <c r="H5" s="17" t="s">
        <v>155</v>
      </c>
      <c r="I5" s="17" t="s">
        <v>156</v>
      </c>
      <c r="J5" s="21" t="s">
        <v>157</v>
      </c>
      <c r="K5" s="21" t="s">
        <v>158</v>
      </c>
      <c r="L5" s="21" t="s">
        <v>159</v>
      </c>
      <c r="M5" s="21" t="s">
        <v>160</v>
      </c>
      <c r="N5" s="21" t="s">
        <v>161</v>
      </c>
      <c r="O5" s="21" t="s">
        <v>162</v>
      </c>
      <c r="P5" s="21" t="s">
        <v>163</v>
      </c>
      <c r="Q5" s="21" t="s">
        <v>164</v>
      </c>
      <c r="R5" s="21" t="s">
        <v>165</v>
      </c>
      <c r="S5" s="21" t="s">
        <v>166</v>
      </c>
      <c r="T5" s="21" t="s">
        <v>167</v>
      </c>
      <c r="U5" s="21" t="s">
        <v>168</v>
      </c>
      <c r="V5" s="21" t="s">
        <v>169</v>
      </c>
      <c r="W5" s="21" t="s">
        <v>170</v>
      </c>
      <c r="X5" s="17" t="s">
        <v>171</v>
      </c>
      <c r="Y5" s="17" t="s">
        <v>172</v>
      </c>
      <c r="Z5" s="17" t="s">
        <v>173</v>
      </c>
      <c r="AA5" s="17" t="s">
        <v>174</v>
      </c>
    </row>
    <row r="6" ht="19" customHeight="1" spans="1:27" x14ac:dyDescent="0.25">
      <c r="A6" s="8">
        <v>1</v>
      </c>
      <c r="B6" s="8" t="s">
        <v>175</v>
      </c>
      <c r="C6" s="7" t="s">
        <v>176</v>
      </c>
      <c r="D6" s="8" t="s">
        <v>177</v>
      </c>
      <c r="E6" s="8" t="s">
        <v>118</v>
      </c>
      <c r="F6" s="8">
        <v>44</v>
      </c>
      <c r="G6" s="8">
        <v>26.4</v>
      </c>
      <c r="H6" s="8">
        <v>17.6</v>
      </c>
      <c r="I6" s="7" t="s">
        <v>178</v>
      </c>
      <c r="J6" s="8">
        <v>22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f>SUM(J6:W6)</f>
      </c>
      <c r="Y6" s="8">
        <v>22</v>
      </c>
      <c r="Z6" s="8">
        <v>0</v>
      </c>
      <c r="AA6" s="18" t="s">
        <v>179</v>
      </c>
    </row>
    <row r="7" ht="19" customHeight="1" spans="1:27" x14ac:dyDescent="0.25">
      <c r="A7" s="8">
        <v>2</v>
      </c>
      <c r="B7" s="8" t="s">
        <v>180</v>
      </c>
      <c r="C7" s="7" t="s">
        <v>181</v>
      </c>
      <c r="D7" s="8" t="s">
        <v>177</v>
      </c>
      <c r="E7" s="8" t="s">
        <v>118</v>
      </c>
      <c r="F7" s="8">
        <v>44</v>
      </c>
      <c r="G7" s="8">
        <v>26.4</v>
      </c>
      <c r="H7" s="8">
        <v>17.6</v>
      </c>
      <c r="I7" s="7" t="s">
        <v>178</v>
      </c>
      <c r="J7" s="8">
        <v>0</v>
      </c>
      <c r="K7" s="8">
        <v>22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f>SUM(J7:W7)</f>
      </c>
      <c r="Y7" s="8">
        <v>22</v>
      </c>
      <c r="Z7" s="8">
        <v>0</v>
      </c>
      <c r="AA7" s="18" t="s">
        <v>179</v>
      </c>
    </row>
    <row r="8" ht="19" customHeight="1" spans="1:27" x14ac:dyDescent="0.25">
      <c r="A8" s="8">
        <v>3</v>
      </c>
      <c r="B8" s="8" t="s">
        <v>182</v>
      </c>
      <c r="C8" s="7" t="s">
        <v>183</v>
      </c>
      <c r="D8" s="8" t="s">
        <v>177</v>
      </c>
      <c r="E8" s="8" t="s">
        <v>118</v>
      </c>
      <c r="F8" s="8">
        <v>44</v>
      </c>
      <c r="G8" s="8">
        <v>26.4</v>
      </c>
      <c r="H8" s="8">
        <v>17.6</v>
      </c>
      <c r="I8" s="7" t="s">
        <v>184</v>
      </c>
      <c r="J8" s="8">
        <v>0</v>
      </c>
      <c r="K8" s="8">
        <v>0</v>
      </c>
      <c r="L8" s="8">
        <v>26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f>SUM(J8:W8)</f>
      </c>
      <c r="Y8" s="8">
        <v>26</v>
      </c>
      <c r="Z8" s="8">
        <v>0</v>
      </c>
      <c r="AA8" s="18" t="s">
        <v>179</v>
      </c>
    </row>
    <row r="9" ht="19" customHeight="1" spans="1:27" x14ac:dyDescent="0.25">
      <c r="A9" s="8">
        <v>4</v>
      </c>
      <c r="B9" s="8" t="s">
        <v>185</v>
      </c>
      <c r="C9" s="7" t="s">
        <v>186</v>
      </c>
      <c r="D9" s="8" t="s">
        <v>177</v>
      </c>
      <c r="E9" s="8" t="s">
        <v>118</v>
      </c>
      <c r="F9" s="8">
        <v>44</v>
      </c>
      <c r="G9" s="8">
        <v>26.4</v>
      </c>
      <c r="H9" s="8">
        <v>17.6</v>
      </c>
      <c r="I9" s="7" t="s">
        <v>187</v>
      </c>
      <c r="J9" s="8">
        <v>0</v>
      </c>
      <c r="K9" s="8">
        <v>0</v>
      </c>
      <c r="L9" s="8">
        <v>0</v>
      </c>
      <c r="M9" s="8">
        <v>26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f>SUM(J9:W9)</f>
      </c>
      <c r="Y9" s="8">
        <v>26</v>
      </c>
      <c r="Z9" s="8">
        <v>0</v>
      </c>
      <c r="AA9" s="18" t="s">
        <v>179</v>
      </c>
    </row>
    <row r="10" ht="19" customHeight="1" spans="1:27" x14ac:dyDescent="0.25">
      <c r="A10" s="8">
        <v>5</v>
      </c>
      <c r="B10" s="8" t="s">
        <v>188</v>
      </c>
      <c r="C10" s="7" t="s">
        <v>189</v>
      </c>
      <c r="D10" s="8" t="s">
        <v>177</v>
      </c>
      <c r="E10" s="8" t="s">
        <v>118</v>
      </c>
      <c r="F10" s="8">
        <v>44</v>
      </c>
      <c r="G10" s="8">
        <v>26.4</v>
      </c>
      <c r="H10" s="8">
        <v>17.6</v>
      </c>
      <c r="I10" s="7" t="s">
        <v>190</v>
      </c>
      <c r="J10" s="8">
        <v>0</v>
      </c>
      <c r="K10" s="8">
        <v>0</v>
      </c>
      <c r="L10" s="8">
        <v>0</v>
      </c>
      <c r="M10" s="8">
        <v>0</v>
      </c>
      <c r="N10" s="8">
        <v>26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f>SUM(J10:W10)</f>
      </c>
      <c r="Y10" s="8">
        <v>26</v>
      </c>
      <c r="Z10" s="8">
        <v>0</v>
      </c>
      <c r="AA10" s="18" t="s">
        <v>179</v>
      </c>
    </row>
    <row r="11" ht="19" customHeight="1" spans="1:27" x14ac:dyDescent="0.25">
      <c r="A11" s="8">
        <v>6</v>
      </c>
      <c r="B11" s="8" t="s">
        <v>191</v>
      </c>
      <c r="C11" s="7" t="s">
        <v>192</v>
      </c>
      <c r="D11" s="8" t="s">
        <v>177</v>
      </c>
      <c r="E11" s="8" t="s">
        <v>118</v>
      </c>
      <c r="F11" s="8">
        <v>44</v>
      </c>
      <c r="G11" s="8">
        <v>26.4</v>
      </c>
      <c r="H11" s="8">
        <v>17.6</v>
      </c>
      <c r="I11" s="7" t="s">
        <v>193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26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f>SUM(J11:W11)</f>
      </c>
      <c r="Y11" s="8">
        <v>26</v>
      </c>
      <c r="Z11" s="8">
        <v>0</v>
      </c>
      <c r="AA11" s="18" t="s">
        <v>179</v>
      </c>
    </row>
    <row r="12" ht="19" customHeight="1" spans="1:27" x14ac:dyDescent="0.25">
      <c r="A12" s="8">
        <v>7</v>
      </c>
      <c r="B12" s="8" t="s">
        <v>194</v>
      </c>
      <c r="C12" s="7" t="s">
        <v>195</v>
      </c>
      <c r="D12" s="8" t="s">
        <v>177</v>
      </c>
      <c r="E12" s="8" t="s">
        <v>118</v>
      </c>
      <c r="F12" s="8">
        <v>44</v>
      </c>
      <c r="G12" s="8">
        <v>26.4</v>
      </c>
      <c r="H12" s="8">
        <v>17.6</v>
      </c>
      <c r="I12" s="7" t="s">
        <v>196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6</v>
      </c>
      <c r="Q12" s="8">
        <v>6</v>
      </c>
      <c r="R12" s="8">
        <v>6</v>
      </c>
      <c r="S12" s="8">
        <v>6</v>
      </c>
      <c r="T12" s="8">
        <v>0</v>
      </c>
      <c r="U12" s="8">
        <v>0</v>
      </c>
      <c r="V12" s="8">
        <v>0</v>
      </c>
      <c r="W12" s="8">
        <v>0</v>
      </c>
      <c r="X12" s="8">
        <f>SUM(J12:W12)</f>
      </c>
      <c r="Y12" s="8">
        <v>24</v>
      </c>
      <c r="Z12" s="8">
        <v>0</v>
      </c>
      <c r="AA12" s="18" t="s">
        <v>179</v>
      </c>
    </row>
    <row r="13" ht="19" customHeight="1" spans="1:27" x14ac:dyDescent="0.25">
      <c r="A13" s="8">
        <v>8</v>
      </c>
      <c r="B13" s="8" t="s">
        <v>197</v>
      </c>
      <c r="C13" s="7" t="s">
        <v>198</v>
      </c>
      <c r="D13" s="8" t="s">
        <v>177</v>
      </c>
      <c r="E13" s="8" t="s">
        <v>118</v>
      </c>
      <c r="F13" s="8">
        <v>44</v>
      </c>
      <c r="G13" s="8">
        <v>26.4</v>
      </c>
      <c r="H13" s="8">
        <v>17.6</v>
      </c>
      <c r="I13" s="7" t="s">
        <v>199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6</v>
      </c>
      <c r="Q13" s="8">
        <v>6</v>
      </c>
      <c r="R13" s="8">
        <v>6</v>
      </c>
      <c r="S13" s="8">
        <v>6</v>
      </c>
      <c r="T13" s="8">
        <v>0</v>
      </c>
      <c r="U13" s="8">
        <v>0</v>
      </c>
      <c r="V13" s="8">
        <v>0</v>
      </c>
      <c r="W13" s="8">
        <v>0</v>
      </c>
      <c r="X13" s="8">
        <f>SUM(J13:W13)</f>
      </c>
      <c r="Y13" s="8">
        <v>24</v>
      </c>
      <c r="Z13" s="8">
        <v>0</v>
      </c>
      <c r="AA13" s="18" t="s">
        <v>179</v>
      </c>
    </row>
    <row r="14" ht="19" customHeight="1" spans="1:27" x14ac:dyDescent="0.25">
      <c r="A14" s="8">
        <v>9</v>
      </c>
      <c r="B14" s="8" t="s">
        <v>200</v>
      </c>
      <c r="C14" s="7" t="s">
        <v>201</v>
      </c>
      <c r="D14" s="8" t="s">
        <v>177</v>
      </c>
      <c r="E14" s="8" t="s">
        <v>118</v>
      </c>
      <c r="F14" s="8">
        <v>44</v>
      </c>
      <c r="G14" s="8">
        <v>26.4</v>
      </c>
      <c r="H14" s="8">
        <v>17.6</v>
      </c>
      <c r="I14" s="7" t="s">
        <v>202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4</v>
      </c>
      <c r="Q14" s="8">
        <v>4</v>
      </c>
      <c r="R14" s="8">
        <v>4</v>
      </c>
      <c r="S14" s="8">
        <v>4</v>
      </c>
      <c r="T14" s="8">
        <v>0</v>
      </c>
      <c r="U14" s="8">
        <v>0</v>
      </c>
      <c r="V14" s="8">
        <v>0</v>
      </c>
      <c r="W14" s="8">
        <v>0</v>
      </c>
      <c r="X14" s="8">
        <f>SUM(J14:W14)</f>
      </c>
      <c r="Y14" s="8">
        <v>16</v>
      </c>
      <c r="Z14" s="8">
        <v>8</v>
      </c>
      <c r="AA14" s="18" t="s">
        <v>179</v>
      </c>
    </row>
    <row r="15" ht="19" customHeight="1" spans="1:27" x14ac:dyDescent="0.25">
      <c r="A15" s="8">
        <v>10</v>
      </c>
      <c r="B15" s="8" t="s">
        <v>203</v>
      </c>
      <c r="C15" s="7" t="s">
        <v>204</v>
      </c>
      <c r="D15" s="8" t="s">
        <v>177</v>
      </c>
      <c r="E15" s="8" t="s">
        <v>127</v>
      </c>
      <c r="F15" s="8">
        <v>44</v>
      </c>
      <c r="G15" s="8">
        <v>26.4</v>
      </c>
      <c r="H15" s="8">
        <v>17.6</v>
      </c>
      <c r="I15" s="7" t="s">
        <v>205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4</v>
      </c>
      <c r="Q15" s="8">
        <v>4</v>
      </c>
      <c r="R15" s="8">
        <v>4</v>
      </c>
      <c r="S15" s="8">
        <v>4</v>
      </c>
      <c r="T15" s="8">
        <v>4</v>
      </c>
      <c r="U15" s="8">
        <v>4</v>
      </c>
      <c r="V15" s="8">
        <v>0</v>
      </c>
      <c r="W15" s="8">
        <v>0</v>
      </c>
      <c r="X15" s="8">
        <f>SUM(J15:W15)</f>
      </c>
      <c r="Y15" s="8">
        <v>24</v>
      </c>
      <c r="Z15" s="8">
        <v>0</v>
      </c>
      <c r="AA15" s="18" t="s">
        <v>179</v>
      </c>
    </row>
    <row r="16" ht="19" customHeight="1" spans="1:27" x14ac:dyDescent="0.25">
      <c r="A16" s="8">
        <v>11</v>
      </c>
      <c r="B16" s="8" t="s">
        <v>206</v>
      </c>
      <c r="C16" s="7" t="s">
        <v>207</v>
      </c>
      <c r="D16" s="8" t="s">
        <v>177</v>
      </c>
      <c r="E16" s="8" t="s">
        <v>118</v>
      </c>
      <c r="F16" s="8">
        <v>44</v>
      </c>
      <c r="G16" s="8">
        <v>26.4</v>
      </c>
      <c r="H16" s="8">
        <v>17.6</v>
      </c>
      <c r="I16" s="7" t="s">
        <v>208</v>
      </c>
      <c r="J16" s="8">
        <v>0</v>
      </c>
      <c r="K16" s="8">
        <v>0</v>
      </c>
      <c r="L16" s="8">
        <v>2</v>
      </c>
      <c r="M16" s="8">
        <v>2</v>
      </c>
      <c r="N16" s="8">
        <v>2</v>
      </c>
      <c r="O16" s="8">
        <v>2</v>
      </c>
      <c r="P16" s="8">
        <v>3</v>
      </c>
      <c r="Q16" s="8">
        <v>3</v>
      </c>
      <c r="R16" s="8">
        <v>3</v>
      </c>
      <c r="S16" s="8">
        <v>3</v>
      </c>
      <c r="T16" s="8">
        <v>3</v>
      </c>
      <c r="U16" s="8">
        <v>3</v>
      </c>
      <c r="V16" s="8">
        <v>0</v>
      </c>
      <c r="W16" s="8">
        <v>0</v>
      </c>
      <c r="X16" s="8">
        <f>SUM(J16:W16)</f>
      </c>
      <c r="Y16" s="8">
        <v>26</v>
      </c>
      <c r="Z16" s="8">
        <v>0</v>
      </c>
      <c r="AA16" s="18" t="s">
        <v>179</v>
      </c>
    </row>
    <row r="17" ht="19" customHeight="1" spans="1:27" x14ac:dyDescent="0.25">
      <c r="A17" s="8">
        <v>12</v>
      </c>
      <c r="B17" s="8" t="s">
        <v>209</v>
      </c>
      <c r="C17" s="7" t="s">
        <v>210</v>
      </c>
      <c r="D17" s="8" t="s">
        <v>177</v>
      </c>
      <c r="E17" s="8" t="s">
        <v>127</v>
      </c>
      <c r="F17" s="8">
        <v>44</v>
      </c>
      <c r="G17" s="8">
        <v>26.4</v>
      </c>
      <c r="H17" s="8">
        <v>17.6</v>
      </c>
      <c r="I17" s="7" t="s">
        <v>211</v>
      </c>
      <c r="J17" s="8">
        <v>0</v>
      </c>
      <c r="K17" s="8">
        <v>0</v>
      </c>
      <c r="L17" s="8">
        <v>4</v>
      </c>
      <c r="M17" s="8">
        <v>4</v>
      </c>
      <c r="N17" s="8">
        <v>4</v>
      </c>
      <c r="O17" s="8">
        <v>4</v>
      </c>
      <c r="P17" s="8">
        <v>2</v>
      </c>
      <c r="Q17" s="8">
        <v>2</v>
      </c>
      <c r="R17" s="8">
        <v>2</v>
      </c>
      <c r="S17" s="8">
        <v>2</v>
      </c>
      <c r="T17" s="8">
        <v>2</v>
      </c>
      <c r="U17" s="8">
        <v>2</v>
      </c>
      <c r="V17" s="8">
        <v>0</v>
      </c>
      <c r="W17" s="8">
        <v>0</v>
      </c>
      <c r="X17" s="8">
        <f>SUM(J17:W17)</f>
      </c>
      <c r="Y17" s="8">
        <v>26</v>
      </c>
      <c r="Z17" s="8">
        <v>0</v>
      </c>
      <c r="AA17" s="18" t="s">
        <v>179</v>
      </c>
    </row>
    <row r="18" ht="19" customHeight="1" spans="1:27" x14ac:dyDescent="0.25">
      <c r="A18" s="8">
        <v>13</v>
      </c>
      <c r="B18" s="8" t="s">
        <v>212</v>
      </c>
      <c r="C18" s="7" t="s">
        <v>213</v>
      </c>
      <c r="D18" s="8" t="s">
        <v>177</v>
      </c>
      <c r="E18" s="8" t="s">
        <v>118</v>
      </c>
      <c r="F18" s="8">
        <v>44</v>
      </c>
      <c r="G18" s="8">
        <v>26.4</v>
      </c>
      <c r="H18" s="8">
        <v>17.6</v>
      </c>
      <c r="I18" s="7" t="s">
        <v>214</v>
      </c>
      <c r="J18" s="8">
        <v>0</v>
      </c>
      <c r="K18" s="8">
        <v>0</v>
      </c>
      <c r="L18" s="8">
        <v>4</v>
      </c>
      <c r="M18" s="8">
        <v>4</v>
      </c>
      <c r="N18" s="8">
        <v>4</v>
      </c>
      <c r="O18" s="8">
        <v>4</v>
      </c>
      <c r="P18" s="8">
        <v>4</v>
      </c>
      <c r="Q18" s="8">
        <v>4</v>
      </c>
      <c r="R18" s="8">
        <v>3</v>
      </c>
      <c r="S18" s="8">
        <v>3</v>
      </c>
      <c r="T18" s="8">
        <v>0</v>
      </c>
      <c r="U18" s="8">
        <v>0</v>
      </c>
      <c r="V18" s="8">
        <v>0</v>
      </c>
      <c r="W18" s="8">
        <v>0</v>
      </c>
      <c r="X18" s="8">
        <f>SUM(J18:W18)</f>
      </c>
      <c r="Y18" s="8">
        <v>26</v>
      </c>
      <c r="Z18" s="8">
        <v>0</v>
      </c>
      <c r="AA18" s="18" t="s">
        <v>179</v>
      </c>
    </row>
    <row r="19" ht="19" customHeight="1" spans="1:27" x14ac:dyDescent="0.25">
      <c r="A19" s="8">
        <v>14</v>
      </c>
      <c r="B19" s="8" t="s">
        <v>215</v>
      </c>
      <c r="C19" s="7" t="s">
        <v>216</v>
      </c>
      <c r="D19" s="8" t="s">
        <v>177</v>
      </c>
      <c r="E19" s="8" t="s">
        <v>118</v>
      </c>
      <c r="F19" s="8">
        <v>44</v>
      </c>
      <c r="G19" s="8">
        <v>26.4</v>
      </c>
      <c r="H19" s="8">
        <v>17.6</v>
      </c>
      <c r="I19" s="7" t="s">
        <v>217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6</v>
      </c>
      <c r="U19" s="8">
        <v>6</v>
      </c>
      <c r="V19" s="8">
        <v>6</v>
      </c>
      <c r="W19" s="8">
        <v>6</v>
      </c>
      <c r="X19" s="8">
        <f>SUM(J19:W19)</f>
      </c>
      <c r="Y19" s="8">
        <v>24</v>
      </c>
      <c r="Z19" s="8">
        <v>0</v>
      </c>
      <c r="AA19" s="18" t="s">
        <v>179</v>
      </c>
    </row>
    <row r="20" ht="19" customHeight="1" spans="1:27" x14ac:dyDescent="0.25">
      <c r="A20" s="8">
        <v>15</v>
      </c>
      <c r="B20" s="8" t="s">
        <v>218</v>
      </c>
      <c r="C20" s="7" t="s">
        <v>219</v>
      </c>
      <c r="D20" s="8" t="s">
        <v>177</v>
      </c>
      <c r="E20" s="8" t="s">
        <v>118</v>
      </c>
      <c r="F20" s="8">
        <v>44</v>
      </c>
      <c r="G20" s="8">
        <v>26.4</v>
      </c>
      <c r="H20" s="8">
        <v>17.6</v>
      </c>
      <c r="I20" s="7" t="s">
        <v>220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7</v>
      </c>
      <c r="U20" s="8">
        <v>7</v>
      </c>
      <c r="V20" s="8">
        <v>6</v>
      </c>
      <c r="W20" s="8">
        <v>6</v>
      </c>
      <c r="X20" s="8">
        <f>SUM(J20:W20)</f>
      </c>
      <c r="Y20" s="8">
        <v>26</v>
      </c>
      <c r="Z20" s="8">
        <v>0</v>
      </c>
      <c r="AA20" s="18" t="s">
        <v>179</v>
      </c>
    </row>
    <row r="21" ht="19" customHeight="1" spans="1:27" x14ac:dyDescent="0.25">
      <c r="A21" s="8">
        <v>16</v>
      </c>
      <c r="B21" s="8" t="s">
        <v>221</v>
      </c>
      <c r="C21" s="7" t="s">
        <v>222</v>
      </c>
      <c r="D21" s="8" t="s">
        <v>177</v>
      </c>
      <c r="E21" s="8" t="s">
        <v>118</v>
      </c>
      <c r="F21" s="8">
        <v>44</v>
      </c>
      <c r="G21" s="8">
        <v>26.4</v>
      </c>
      <c r="H21" s="8">
        <v>17.6</v>
      </c>
      <c r="I21" s="7" t="s">
        <v>223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6</v>
      </c>
      <c r="U21" s="8">
        <v>6</v>
      </c>
      <c r="V21" s="8">
        <v>6</v>
      </c>
      <c r="W21" s="8">
        <v>6</v>
      </c>
      <c r="X21" s="8">
        <f>SUM(J21:W21)</f>
      </c>
      <c r="Y21" s="8">
        <v>24</v>
      </c>
      <c r="Z21" s="8">
        <v>0</v>
      </c>
      <c r="AA21" s="18" t="s">
        <v>179</v>
      </c>
    </row>
    <row r="22" ht="19" customHeight="1" spans="1:27" x14ac:dyDescent="0.25">
      <c r="A22" s="8">
        <v>17</v>
      </c>
      <c r="B22" s="8" t="s">
        <v>224</v>
      </c>
      <c r="C22" s="7" t="s">
        <v>225</v>
      </c>
      <c r="D22" s="8" t="s">
        <v>177</v>
      </c>
      <c r="E22" s="8" t="s">
        <v>127</v>
      </c>
      <c r="F22" s="8">
        <v>44</v>
      </c>
      <c r="G22" s="8">
        <v>26.4</v>
      </c>
      <c r="H22" s="8">
        <v>17.6</v>
      </c>
      <c r="I22" s="7" t="s">
        <v>226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12</v>
      </c>
      <c r="W22" s="8">
        <v>12</v>
      </c>
      <c r="X22" s="8">
        <f>SUM(J22:W22)</f>
      </c>
      <c r="Y22" s="8">
        <v>24</v>
      </c>
      <c r="Z22" s="8">
        <v>0</v>
      </c>
      <c r="AA22" s="18" t="s">
        <v>179</v>
      </c>
    </row>
    <row r="23" ht="19" customHeight="1" spans="1:27" x14ac:dyDescent="0.25">
      <c r="A23" s="8">
        <v>18</v>
      </c>
      <c r="B23" s="8" t="s">
        <v>227</v>
      </c>
      <c r="C23" s="7" t="s">
        <v>228</v>
      </c>
      <c r="D23" s="8" t="s">
        <v>177</v>
      </c>
      <c r="E23" s="8" t="s">
        <v>127</v>
      </c>
      <c r="F23" s="8">
        <v>38</v>
      </c>
      <c r="G23" s="8">
        <v>22.8</v>
      </c>
      <c r="H23" s="8">
        <v>15.2</v>
      </c>
      <c r="I23" s="7" t="s">
        <v>229</v>
      </c>
      <c r="J23" s="8">
        <v>0</v>
      </c>
      <c r="K23" s="8">
        <v>0</v>
      </c>
      <c r="L23" s="8">
        <v>2</v>
      </c>
      <c r="M23" s="8">
        <v>2</v>
      </c>
      <c r="N23" s="8">
        <v>2</v>
      </c>
      <c r="O23" s="8">
        <v>2</v>
      </c>
      <c r="P23" s="8">
        <v>3</v>
      </c>
      <c r="Q23" s="8">
        <v>3</v>
      </c>
      <c r="R23" s="8">
        <v>4</v>
      </c>
      <c r="S23" s="8">
        <v>4</v>
      </c>
      <c r="T23" s="8">
        <v>0</v>
      </c>
      <c r="U23" s="8">
        <v>0</v>
      </c>
      <c r="V23" s="8">
        <v>0</v>
      </c>
      <c r="W23" s="8">
        <v>0</v>
      </c>
      <c r="X23" s="8">
        <f>SUM(J23:W23)</f>
      </c>
      <c r="Y23" s="8">
        <v>0</v>
      </c>
      <c r="Z23" s="8">
        <v>22</v>
      </c>
      <c r="AA23" s="18" t="s">
        <v>179</v>
      </c>
    </row>
    <row r="24" ht="22" customHeight="1" spans="1:27" x14ac:dyDescent="0.25">
      <c r="A24" s="11" t="s">
        <v>230</v>
      </c>
      <c r="B24" s="11"/>
      <c r="C24" s="11"/>
      <c r="D24" s="11"/>
      <c r="E24" s="11"/>
      <c r="F24" s="11"/>
      <c r="G24" s="11"/>
      <c r="H24" s="11"/>
      <c r="I24" s="11"/>
      <c r="J24" s="11">
        <f>SUM(J6:J23)</f>
      </c>
      <c r="K24" s="11">
        <f>SUM(K6:K23)</f>
      </c>
      <c r="L24" s="11">
        <f>SUM(L6:L23)</f>
      </c>
      <c r="M24" s="11">
        <f>SUM(M6:M23)</f>
      </c>
      <c r="N24" s="11">
        <f>SUM(N6:N23)</f>
      </c>
      <c r="O24" s="11">
        <f>SUM(O6:O23)</f>
      </c>
      <c r="P24" s="11">
        <f>SUM(P6:P23)</f>
      </c>
      <c r="Q24" s="11">
        <f>SUM(Q6:Q23)</f>
      </c>
      <c r="R24" s="11">
        <f>SUM(R6:R23)</f>
      </c>
      <c r="S24" s="11">
        <f>SUM(S6:S23)</f>
      </c>
      <c r="T24" s="11">
        <f>SUM(T6:T23)</f>
      </c>
      <c r="U24" s="11">
        <f>SUM(U6:U23)</f>
      </c>
      <c r="V24" s="11">
        <f>SUM(V6:V23)</f>
      </c>
      <c r="W24" s="11">
        <f>SUM(W6:W23)</f>
      </c>
      <c r="X24" s="11">
        <f>SUM(X6:X23)</f>
      </c>
      <c r="Y24" s="11">
        <f>SUM(Y6:Y23)</f>
      </c>
      <c r="Z24" s="11">
        <f>SUM(Z6:Z23)</f>
      </c>
      <c r="AA24" s="11" t="s">
        <v>231</v>
      </c>
    </row>
  </sheetData>
  <mergeCells count="6">
    <mergeCell ref="A1:AA1"/>
    <mergeCell ref="A2:AA2"/>
    <mergeCell ref="A4:I4"/>
    <mergeCell ref="J4:W4"/>
    <mergeCell ref="X4:AA4"/>
    <mergeCell ref="A24:I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A1:K19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2" customWidth="1"/>
    <col min="4" max="4" width="16" customWidth="1"/>
    <col min="5" max="6" width="18" customWidth="1"/>
    <col min="7" max="7" width="20" customWidth="1"/>
    <col min="8" max="8" width="18" customWidth="1"/>
    <col min="9" max="9" width="30" customWidth="1"/>
    <col min="10" max="10" width="24" customWidth="1"/>
    <col min="11" max="11" width="18" customWidth="1"/>
  </cols>
  <sheetData>
    <row r="1" ht="28" customHeight="1" spans="1:11" x14ac:dyDescent="0.25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25">
      <c r="A4" s="3" t="s">
        <v>234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24" customHeight="1" spans="1:11" x14ac:dyDescent="0.25">
      <c r="A5" s="6" t="s">
        <v>69</v>
      </c>
      <c r="B5" s="6" t="s">
        <v>103</v>
      </c>
      <c r="C5" s="6" t="s">
        <v>104</v>
      </c>
      <c r="D5" s="6" t="s">
        <v>235</v>
      </c>
      <c r="E5" s="6" t="s">
        <v>236</v>
      </c>
      <c r="F5" s="6" t="s">
        <v>237</v>
      </c>
      <c r="G5" s="6" t="s">
        <v>238</v>
      </c>
      <c r="H5" s="6" t="s">
        <v>239</v>
      </c>
      <c r="I5" s="6" t="s">
        <v>240</v>
      </c>
      <c r="J5" s="6" t="s">
        <v>241</v>
      </c>
      <c r="K5" s="6" t="s">
        <v>242</v>
      </c>
    </row>
    <row r="6" ht="20" customHeight="1" spans="1:11" x14ac:dyDescent="0.25">
      <c r="A6" s="8">
        <v>1</v>
      </c>
      <c r="B6" s="8" t="s">
        <v>243</v>
      </c>
      <c r="C6" s="7" t="s">
        <v>244</v>
      </c>
      <c r="D6" s="8">
        <v>44</v>
      </c>
      <c r="E6" s="8">
        <v>20</v>
      </c>
      <c r="F6" s="8">
        <v>16</v>
      </c>
      <c r="G6" s="8">
        <v>8</v>
      </c>
      <c r="H6" s="8">
        <f>SUM(E6:G6)</f>
      </c>
      <c r="I6" s="7" t="s">
        <v>245</v>
      </c>
      <c r="J6" s="8" t="s">
        <v>246</v>
      </c>
      <c r="K6" s="18" t="s">
        <v>179</v>
      </c>
    </row>
    <row r="7" ht="20" customHeight="1" spans="1:11" x14ac:dyDescent="0.25">
      <c r="A7" s="8">
        <v>2</v>
      </c>
      <c r="B7" s="8" t="s">
        <v>247</v>
      </c>
      <c r="C7" s="7" t="s">
        <v>248</v>
      </c>
      <c r="D7" s="8">
        <v>44</v>
      </c>
      <c r="E7" s="8">
        <v>20</v>
      </c>
      <c r="F7" s="8">
        <v>16</v>
      </c>
      <c r="G7" s="8">
        <v>8</v>
      </c>
      <c r="H7" s="8">
        <f>SUM(E7:G7)</f>
      </c>
      <c r="I7" s="7" t="s">
        <v>249</v>
      </c>
      <c r="J7" s="8" t="s">
        <v>246</v>
      </c>
      <c r="K7" s="18" t="s">
        <v>179</v>
      </c>
    </row>
    <row r="8" ht="20" customHeight="1" spans="1:11" x14ac:dyDescent="0.25">
      <c r="A8" s="8">
        <v>3</v>
      </c>
      <c r="B8" s="8" t="s">
        <v>250</v>
      </c>
      <c r="C8" s="7" t="s">
        <v>251</v>
      </c>
      <c r="D8" s="8">
        <v>44</v>
      </c>
      <c r="E8" s="8">
        <v>20</v>
      </c>
      <c r="F8" s="8">
        <v>16</v>
      </c>
      <c r="G8" s="8">
        <v>8</v>
      </c>
      <c r="H8" s="8">
        <f>SUM(E8:G8)</f>
      </c>
      <c r="I8" s="7" t="s">
        <v>252</v>
      </c>
      <c r="J8" s="8" t="s">
        <v>246</v>
      </c>
      <c r="K8" s="18" t="s">
        <v>179</v>
      </c>
    </row>
    <row r="9" ht="20" customHeight="1" spans="1:11" x14ac:dyDescent="0.25">
      <c r="A9" s="8">
        <v>4</v>
      </c>
      <c r="B9" s="8" t="s">
        <v>253</v>
      </c>
      <c r="C9" s="7" t="s">
        <v>254</v>
      </c>
      <c r="D9" s="8">
        <v>44</v>
      </c>
      <c r="E9" s="8">
        <v>20</v>
      </c>
      <c r="F9" s="8">
        <v>16</v>
      </c>
      <c r="G9" s="8">
        <v>8</v>
      </c>
      <c r="H9" s="8">
        <f>SUM(E9:G9)</f>
      </c>
      <c r="I9" s="7" t="s">
        <v>255</v>
      </c>
      <c r="J9" s="8" t="s">
        <v>246</v>
      </c>
      <c r="K9" s="18" t="s">
        <v>179</v>
      </c>
    </row>
    <row r="10" spans="1:11" x14ac:dyDescent="0.25">
      <c r="A10" s="11" t="s">
        <v>256</v>
      </c>
      <c r="B10" s="11"/>
      <c r="C10" s="11"/>
      <c r="D10" s="11">
        <f>SUM(D6:D9)</f>
      </c>
      <c r="E10" s="11">
        <f>SUM(E6:E9)</f>
      </c>
      <c r="F10" s="11">
        <f>SUM(F6:F9)</f>
      </c>
      <c r="G10" s="11">
        <f>SUM(G6:G9)</f>
      </c>
      <c r="H10" s="11">
        <f>SUM(H6:H9)</f>
      </c>
      <c r="I10" s="11" t="s">
        <v>143</v>
      </c>
      <c r="J10" s="11" t="s">
        <v>257</v>
      </c>
      <c r="K10" s="11" t="s">
        <v>258</v>
      </c>
    </row>
    <row r="12" spans="1:11" x14ac:dyDescent="0.25">
      <c r="A12" s="3" t="s">
        <v>259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4" customHeight="1" spans="1:11" x14ac:dyDescent="0.25">
      <c r="A13" s="12" t="s">
        <v>69</v>
      </c>
      <c r="B13" s="12" t="s">
        <v>103</v>
      </c>
      <c r="C13" s="12" t="s">
        <v>104</v>
      </c>
      <c r="D13" s="12" t="s">
        <v>260</v>
      </c>
      <c r="E13" s="12" t="s">
        <v>21</v>
      </c>
      <c r="F13" s="12" t="s">
        <v>261</v>
      </c>
      <c r="G13" s="12" t="s">
        <v>262</v>
      </c>
      <c r="H13" s="12" t="s">
        <v>108</v>
      </c>
      <c r="I13" s="12" t="s">
        <v>263</v>
      </c>
      <c r="J13" s="12" t="s">
        <v>264</v>
      </c>
      <c r="K13" s="12" t="s">
        <v>265</v>
      </c>
    </row>
    <row r="14" ht="20" customHeight="1" spans="1:11" x14ac:dyDescent="0.25">
      <c r="A14" s="8">
        <v>1</v>
      </c>
      <c r="B14" s="8" t="s">
        <v>266</v>
      </c>
      <c r="C14" s="7" t="s">
        <v>267</v>
      </c>
      <c r="D14" s="8" t="s">
        <v>268</v>
      </c>
      <c r="E14" s="8">
        <v>44</v>
      </c>
      <c r="F14" s="8" t="s">
        <v>269</v>
      </c>
      <c r="G14" s="8" t="s">
        <v>246</v>
      </c>
      <c r="H14" s="8" t="s">
        <v>127</v>
      </c>
      <c r="I14" s="7" t="s">
        <v>270</v>
      </c>
      <c r="J14" s="8" t="s">
        <v>271</v>
      </c>
      <c r="K14" s="18" t="s">
        <v>272</v>
      </c>
    </row>
    <row r="15" ht="20" customHeight="1" spans="1:11" x14ac:dyDescent="0.25">
      <c r="A15" s="8">
        <v>2</v>
      </c>
      <c r="B15" s="8" t="s">
        <v>273</v>
      </c>
      <c r="C15" s="7" t="s">
        <v>274</v>
      </c>
      <c r="D15" s="8" t="s">
        <v>275</v>
      </c>
      <c r="E15" s="8">
        <v>30</v>
      </c>
      <c r="F15" s="8" t="s">
        <v>269</v>
      </c>
      <c r="G15" s="8" t="s">
        <v>246</v>
      </c>
      <c r="H15" s="8" t="s">
        <v>127</v>
      </c>
      <c r="I15" s="7" t="s">
        <v>276</v>
      </c>
      <c r="J15" s="8" t="s">
        <v>277</v>
      </c>
      <c r="K15" s="18" t="s">
        <v>272</v>
      </c>
    </row>
    <row r="16" ht="20" customHeight="1" spans="1:11" x14ac:dyDescent="0.25">
      <c r="A16" s="8">
        <v>3</v>
      </c>
      <c r="B16" s="8" t="s">
        <v>278</v>
      </c>
      <c r="C16" s="7" t="s">
        <v>279</v>
      </c>
      <c r="D16" s="8" t="s">
        <v>280</v>
      </c>
      <c r="E16" s="8">
        <v>30</v>
      </c>
      <c r="F16" s="8" t="s">
        <v>269</v>
      </c>
      <c r="G16" s="8" t="s">
        <v>246</v>
      </c>
      <c r="H16" s="8" t="s">
        <v>127</v>
      </c>
      <c r="I16" s="7" t="s">
        <v>281</v>
      </c>
      <c r="J16" s="8" t="s">
        <v>282</v>
      </c>
      <c r="K16" s="18" t="s">
        <v>272</v>
      </c>
    </row>
    <row r="17" ht="20" customHeight="1" spans="1:11" x14ac:dyDescent="0.25">
      <c r="A17" s="8">
        <v>4</v>
      </c>
      <c r="B17" s="8" t="s">
        <v>283</v>
      </c>
      <c r="C17" s="7" t="s">
        <v>284</v>
      </c>
      <c r="D17" s="8" t="s">
        <v>285</v>
      </c>
      <c r="E17" s="8">
        <v>44</v>
      </c>
      <c r="F17" s="8" t="s">
        <v>269</v>
      </c>
      <c r="G17" s="8" t="s">
        <v>132</v>
      </c>
      <c r="H17" s="8" t="s">
        <v>127</v>
      </c>
      <c r="I17" s="7" t="s">
        <v>286</v>
      </c>
      <c r="J17" s="8" t="s">
        <v>287</v>
      </c>
      <c r="K17" s="18" t="s">
        <v>272</v>
      </c>
    </row>
    <row r="18" ht="20" customHeight="1" spans="1:11" x14ac:dyDescent="0.25">
      <c r="A18" s="8">
        <v>5</v>
      </c>
      <c r="B18" s="8" t="s">
        <v>288</v>
      </c>
      <c r="C18" s="7" t="s">
        <v>289</v>
      </c>
      <c r="D18" s="8" t="s">
        <v>290</v>
      </c>
      <c r="E18" s="8">
        <v>44</v>
      </c>
      <c r="F18" s="8" t="s">
        <v>291</v>
      </c>
      <c r="G18" s="8" t="s">
        <v>246</v>
      </c>
      <c r="H18" s="8" t="s">
        <v>127</v>
      </c>
      <c r="I18" s="7" t="s">
        <v>292</v>
      </c>
      <c r="J18" s="8" t="s">
        <v>293</v>
      </c>
      <c r="K18" s="18" t="s">
        <v>272</v>
      </c>
    </row>
    <row r="19" spans="1:11" x14ac:dyDescent="0.25">
      <c r="A19" s="11" t="s">
        <v>294</v>
      </c>
      <c r="B19" s="11"/>
      <c r="C19" s="11"/>
      <c r="D19" s="11"/>
      <c r="E19" s="11">
        <f>SUM(E14:E18)</f>
      </c>
      <c r="F19" s="11" t="s">
        <v>143</v>
      </c>
      <c r="G19" s="11" t="s">
        <v>143</v>
      </c>
      <c r="H19" s="11" t="s">
        <v>143</v>
      </c>
      <c r="I19" s="11" t="s">
        <v>143</v>
      </c>
      <c r="J19" s="11" t="s">
        <v>143</v>
      </c>
      <c r="K19" s="11" t="s">
        <v>295</v>
      </c>
    </row>
  </sheetData>
  <mergeCells count="6">
    <mergeCell ref="A1:K1"/>
    <mergeCell ref="A2:K2"/>
    <mergeCell ref="A4:K4"/>
    <mergeCell ref="A10:C10"/>
    <mergeCell ref="A12:K12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A580C"/>
  </sheetPr>
  <dimension ref="A1:L20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18" customWidth="1"/>
    <col min="5" max="5" width="28" customWidth="1"/>
    <col min="6" max="6" width="14" customWidth="1"/>
    <col min="7" max="7" width="15" customWidth="1"/>
    <col min="8" max="8" width="17" customWidth="1"/>
    <col min="9" max="9" width="12" customWidth="1"/>
    <col min="10" max="10" width="14" customWidth="1"/>
    <col min="11" max="11" width="10" customWidth="1"/>
    <col min="12" max="12" width="38" customWidth="1"/>
  </cols>
  <sheetData>
    <row r="1" ht="28" customHeight="1" spans="1:12" x14ac:dyDescent="0.25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297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6" customHeight="1" spans="1:12" x14ac:dyDescent="0.25">
      <c r="A4" s="17" t="s">
        <v>69</v>
      </c>
      <c r="B4" s="17" t="s">
        <v>103</v>
      </c>
      <c r="C4" s="17" t="s">
        <v>104</v>
      </c>
      <c r="D4" s="17" t="s">
        <v>298</v>
      </c>
      <c r="E4" s="17" t="s">
        <v>260</v>
      </c>
      <c r="F4" s="17" t="s">
        <v>153</v>
      </c>
      <c r="G4" s="17" t="s">
        <v>299</v>
      </c>
      <c r="H4" s="17" t="s">
        <v>300</v>
      </c>
      <c r="I4" s="17" t="s">
        <v>301</v>
      </c>
      <c r="J4" s="17" t="s">
        <v>302</v>
      </c>
      <c r="K4" s="17" t="s">
        <v>303</v>
      </c>
      <c r="L4" s="17" t="s">
        <v>304</v>
      </c>
    </row>
    <row r="5" ht="19" customHeight="1" spans="1:12" x14ac:dyDescent="0.25">
      <c r="A5" s="8">
        <v>1</v>
      </c>
      <c r="B5" s="8" t="s">
        <v>305</v>
      </c>
      <c r="C5" s="7" t="s">
        <v>306</v>
      </c>
      <c r="D5" s="8" t="s">
        <v>291</v>
      </c>
      <c r="E5" s="8" t="s">
        <v>307</v>
      </c>
      <c r="F5" s="8">
        <v>44</v>
      </c>
      <c r="G5" s="8">
        <v>44</v>
      </c>
      <c r="H5" s="8">
        <v>0</v>
      </c>
      <c r="I5" s="8">
        <v>0</v>
      </c>
      <c r="J5" s="8">
        <v>0</v>
      </c>
      <c r="K5" s="8">
        <v>0</v>
      </c>
      <c r="L5" s="7" t="s">
        <v>308</v>
      </c>
    </row>
    <row r="6" ht="19" customHeight="1" spans="1:12" x14ac:dyDescent="0.25">
      <c r="A6" s="8">
        <v>2</v>
      </c>
      <c r="B6" s="8" t="s">
        <v>309</v>
      </c>
      <c r="C6" s="7" t="s">
        <v>310</v>
      </c>
      <c r="D6" s="8" t="s">
        <v>291</v>
      </c>
      <c r="E6" s="8" t="s">
        <v>307</v>
      </c>
      <c r="F6" s="8">
        <v>44</v>
      </c>
      <c r="G6" s="8">
        <v>44</v>
      </c>
      <c r="H6" s="8">
        <v>0</v>
      </c>
      <c r="I6" s="8">
        <v>0</v>
      </c>
      <c r="J6" s="8">
        <v>0</v>
      </c>
      <c r="K6" s="8">
        <v>0</v>
      </c>
      <c r="L6" s="7" t="s">
        <v>311</v>
      </c>
    </row>
    <row r="7" ht="19" customHeight="1" spans="1:12" x14ac:dyDescent="0.25">
      <c r="A7" s="8">
        <v>3</v>
      </c>
      <c r="B7" s="8" t="s">
        <v>312</v>
      </c>
      <c r="C7" s="7" t="s">
        <v>313</v>
      </c>
      <c r="D7" s="8" t="s">
        <v>314</v>
      </c>
      <c r="E7" s="8" t="s">
        <v>315</v>
      </c>
      <c r="F7" s="8">
        <v>44</v>
      </c>
      <c r="G7" s="8">
        <v>44</v>
      </c>
      <c r="H7" s="8">
        <v>0</v>
      </c>
      <c r="I7" s="8">
        <v>0</v>
      </c>
      <c r="J7" s="8">
        <v>0</v>
      </c>
      <c r="K7" s="8">
        <v>0</v>
      </c>
      <c r="L7" s="7" t="s">
        <v>316</v>
      </c>
    </row>
    <row r="8" ht="19" customHeight="1" spans="1:12" x14ac:dyDescent="0.25">
      <c r="A8" s="8">
        <v>4</v>
      </c>
      <c r="B8" s="8" t="s">
        <v>317</v>
      </c>
      <c r="C8" s="7" t="s">
        <v>318</v>
      </c>
      <c r="D8" s="8" t="s">
        <v>314</v>
      </c>
      <c r="E8" s="8" t="s">
        <v>315</v>
      </c>
      <c r="F8" s="8">
        <v>44</v>
      </c>
      <c r="G8" s="8">
        <v>44</v>
      </c>
      <c r="H8" s="8">
        <v>0</v>
      </c>
      <c r="I8" s="8">
        <v>0</v>
      </c>
      <c r="J8" s="8">
        <v>0</v>
      </c>
      <c r="K8" s="8">
        <v>0</v>
      </c>
      <c r="L8" s="7" t="s">
        <v>319</v>
      </c>
    </row>
    <row r="9" ht="19" customHeight="1" spans="1:12" x14ac:dyDescent="0.25">
      <c r="A9" s="8">
        <v>5</v>
      </c>
      <c r="B9" s="8" t="s">
        <v>320</v>
      </c>
      <c r="C9" s="7" t="s">
        <v>321</v>
      </c>
      <c r="D9" s="8" t="s">
        <v>314</v>
      </c>
      <c r="E9" s="8" t="s">
        <v>322</v>
      </c>
      <c r="F9" s="8">
        <v>44</v>
      </c>
      <c r="G9" s="8">
        <v>44</v>
      </c>
      <c r="H9" s="8">
        <v>0</v>
      </c>
      <c r="I9" s="8">
        <v>0</v>
      </c>
      <c r="J9" s="8">
        <v>0</v>
      </c>
      <c r="K9" s="8">
        <v>0</v>
      </c>
      <c r="L9" s="7" t="s">
        <v>323</v>
      </c>
    </row>
    <row r="10" ht="19" customHeight="1" spans="1:12" x14ac:dyDescent="0.25">
      <c r="A10" s="8">
        <v>6</v>
      </c>
      <c r="B10" s="8" t="s">
        <v>324</v>
      </c>
      <c r="C10" s="7" t="s">
        <v>325</v>
      </c>
      <c r="D10" s="8" t="s">
        <v>314</v>
      </c>
      <c r="E10" s="8" t="s">
        <v>326</v>
      </c>
      <c r="F10" s="8">
        <v>44</v>
      </c>
      <c r="G10" s="8">
        <v>0</v>
      </c>
      <c r="H10" s="8">
        <v>44</v>
      </c>
      <c r="I10" s="8">
        <v>0</v>
      </c>
      <c r="J10" s="8">
        <v>0</v>
      </c>
      <c r="K10" s="8">
        <v>0</v>
      </c>
      <c r="L10" s="7" t="s">
        <v>327</v>
      </c>
    </row>
    <row r="11" ht="19" customHeight="1" spans="1:12" x14ac:dyDescent="0.25">
      <c r="A11" s="8">
        <v>7</v>
      </c>
      <c r="B11" s="8" t="s">
        <v>328</v>
      </c>
      <c r="C11" s="7" t="s">
        <v>329</v>
      </c>
      <c r="D11" s="8" t="s">
        <v>330</v>
      </c>
      <c r="E11" s="8" t="s">
        <v>331</v>
      </c>
      <c r="F11" s="8">
        <v>44</v>
      </c>
      <c r="G11" s="8">
        <v>44</v>
      </c>
      <c r="H11" s="8">
        <v>0</v>
      </c>
      <c r="I11" s="8">
        <v>0</v>
      </c>
      <c r="J11" s="8">
        <v>0</v>
      </c>
      <c r="K11" s="8">
        <v>0</v>
      </c>
      <c r="L11" s="7" t="s">
        <v>332</v>
      </c>
    </row>
    <row r="12" ht="19" customHeight="1" spans="1:12" x14ac:dyDescent="0.25">
      <c r="A12" s="8">
        <v>8</v>
      </c>
      <c r="B12" s="8" t="s">
        <v>333</v>
      </c>
      <c r="C12" s="7" t="s">
        <v>334</v>
      </c>
      <c r="D12" s="8" t="s">
        <v>330</v>
      </c>
      <c r="E12" s="8" t="s">
        <v>331</v>
      </c>
      <c r="F12" s="8">
        <v>44</v>
      </c>
      <c r="G12" s="8">
        <v>44</v>
      </c>
      <c r="H12" s="8">
        <v>0</v>
      </c>
      <c r="I12" s="8">
        <v>0</v>
      </c>
      <c r="J12" s="8">
        <v>0</v>
      </c>
      <c r="K12" s="8">
        <v>0</v>
      </c>
      <c r="L12" s="7" t="s">
        <v>335</v>
      </c>
    </row>
    <row r="13" ht="19" customHeight="1" spans="1:12" x14ac:dyDescent="0.25">
      <c r="A13" s="8">
        <v>9</v>
      </c>
      <c r="B13" s="8" t="s">
        <v>336</v>
      </c>
      <c r="C13" s="7" t="s">
        <v>337</v>
      </c>
      <c r="D13" s="8" t="s">
        <v>330</v>
      </c>
      <c r="E13" s="8" t="s">
        <v>331</v>
      </c>
      <c r="F13" s="8">
        <v>44</v>
      </c>
      <c r="G13" s="8">
        <v>44</v>
      </c>
      <c r="H13" s="8">
        <v>0</v>
      </c>
      <c r="I13" s="8">
        <v>0</v>
      </c>
      <c r="J13" s="8">
        <v>0</v>
      </c>
      <c r="K13" s="8">
        <v>0</v>
      </c>
      <c r="L13" s="7" t="s">
        <v>338</v>
      </c>
    </row>
    <row r="14" ht="19" customHeight="1" spans="1:12" x14ac:dyDescent="0.25">
      <c r="A14" s="8">
        <v>10</v>
      </c>
      <c r="B14" s="8" t="s">
        <v>339</v>
      </c>
      <c r="C14" s="7" t="s">
        <v>340</v>
      </c>
      <c r="D14" s="8" t="s">
        <v>330</v>
      </c>
      <c r="E14" s="8" t="s">
        <v>341</v>
      </c>
      <c r="F14" s="8">
        <v>44</v>
      </c>
      <c r="G14" s="8">
        <v>44</v>
      </c>
      <c r="H14" s="8">
        <v>0</v>
      </c>
      <c r="I14" s="8">
        <v>0</v>
      </c>
      <c r="J14" s="8">
        <v>0</v>
      </c>
      <c r="K14" s="8">
        <v>0</v>
      </c>
      <c r="L14" s="7" t="s">
        <v>342</v>
      </c>
    </row>
    <row r="15" ht="19" customHeight="1" spans="1:12" x14ac:dyDescent="0.25">
      <c r="A15" s="8">
        <v>11</v>
      </c>
      <c r="B15" s="8" t="s">
        <v>343</v>
      </c>
      <c r="C15" s="7" t="s">
        <v>344</v>
      </c>
      <c r="D15" s="8" t="s">
        <v>330</v>
      </c>
      <c r="E15" s="8" t="s">
        <v>345</v>
      </c>
      <c r="F15" s="8">
        <v>44</v>
      </c>
      <c r="G15" s="8">
        <v>44</v>
      </c>
      <c r="H15" s="8">
        <v>0</v>
      </c>
      <c r="I15" s="8">
        <v>0</v>
      </c>
      <c r="J15" s="8">
        <v>0</v>
      </c>
      <c r="K15" s="8">
        <v>0</v>
      </c>
      <c r="L15" s="7" t="s">
        <v>346</v>
      </c>
    </row>
    <row r="16" ht="19" customHeight="1" spans="1:12" x14ac:dyDescent="0.25">
      <c r="A16" s="8">
        <v>12</v>
      </c>
      <c r="B16" s="8" t="s">
        <v>347</v>
      </c>
      <c r="C16" s="7" t="s">
        <v>348</v>
      </c>
      <c r="D16" s="8" t="s">
        <v>330</v>
      </c>
      <c r="E16" s="8" t="s">
        <v>349</v>
      </c>
      <c r="F16" s="8">
        <v>44</v>
      </c>
      <c r="G16" s="8">
        <v>44</v>
      </c>
      <c r="H16" s="8">
        <v>0</v>
      </c>
      <c r="I16" s="8">
        <v>0</v>
      </c>
      <c r="J16" s="8">
        <v>0</v>
      </c>
      <c r="K16" s="8">
        <v>0</v>
      </c>
      <c r="L16" s="7" t="s">
        <v>350</v>
      </c>
    </row>
    <row r="17" ht="19" customHeight="1" spans="1:12" x14ac:dyDescent="0.25">
      <c r="A17" s="8">
        <v>13</v>
      </c>
      <c r="B17" s="8" t="s">
        <v>351</v>
      </c>
      <c r="C17" s="7" t="s">
        <v>352</v>
      </c>
      <c r="D17" s="8" t="s">
        <v>291</v>
      </c>
      <c r="E17" s="8" t="s">
        <v>353</v>
      </c>
      <c r="F17" s="8">
        <v>44</v>
      </c>
      <c r="G17" s="8">
        <v>0</v>
      </c>
      <c r="H17" s="8">
        <v>44</v>
      </c>
      <c r="I17" s="8">
        <v>0</v>
      </c>
      <c r="J17" s="8">
        <v>0</v>
      </c>
      <c r="K17" s="8">
        <v>0</v>
      </c>
      <c r="L17" s="7" t="s">
        <v>354</v>
      </c>
    </row>
    <row r="18" ht="19" customHeight="1" spans="1:12" x14ac:dyDescent="0.25">
      <c r="A18" s="8">
        <v>14</v>
      </c>
      <c r="B18" s="8" t="s">
        <v>355</v>
      </c>
      <c r="C18" s="7" t="s">
        <v>356</v>
      </c>
      <c r="D18" s="8" t="s">
        <v>291</v>
      </c>
      <c r="E18" s="8" t="s">
        <v>357</v>
      </c>
      <c r="F18" s="8">
        <v>44</v>
      </c>
      <c r="G18" s="8">
        <v>0</v>
      </c>
      <c r="H18" s="8">
        <v>0</v>
      </c>
      <c r="I18" s="8">
        <v>44</v>
      </c>
      <c r="J18" s="8">
        <v>0</v>
      </c>
      <c r="K18" s="8">
        <v>0</v>
      </c>
      <c r="L18" s="7" t="s">
        <v>358</v>
      </c>
    </row>
    <row r="19" ht="19" customHeight="1" spans="1:12" x14ac:dyDescent="0.25">
      <c r="A19" s="8">
        <v>15</v>
      </c>
      <c r="B19" s="8" t="s">
        <v>359</v>
      </c>
      <c r="C19" s="7" t="s">
        <v>360</v>
      </c>
      <c r="D19" s="8" t="s">
        <v>291</v>
      </c>
      <c r="E19" s="8" t="s">
        <v>290</v>
      </c>
      <c r="F19" s="8">
        <v>44</v>
      </c>
      <c r="G19" s="8">
        <v>0</v>
      </c>
      <c r="H19" s="8">
        <v>0</v>
      </c>
      <c r="I19" s="8">
        <v>0</v>
      </c>
      <c r="J19" s="8">
        <v>0</v>
      </c>
      <c r="K19" s="8">
        <v>44</v>
      </c>
      <c r="L19" s="7" t="s">
        <v>361</v>
      </c>
    </row>
    <row r="20" ht="22" customHeight="1" spans="1:12" x14ac:dyDescent="0.25">
      <c r="A20" s="11" t="s">
        <v>362</v>
      </c>
      <c r="B20" s="11"/>
      <c r="C20" s="11"/>
      <c r="D20" s="11"/>
      <c r="E20" s="11"/>
      <c r="F20" s="11">
        <f>SUM(F5:F19)</f>
      </c>
      <c r="G20" s="11">
        <f>SUM(G5:G19)</f>
      </c>
      <c r="H20" s="11">
        <f>SUM(H5:H19)</f>
      </c>
      <c r="I20" s="11">
        <f>SUM(I5:I19)</f>
      </c>
      <c r="J20" s="11">
        <f>SUM(J5:J19)</f>
      </c>
      <c r="K20" s="11">
        <f>SUM(K5:K19)</f>
      </c>
      <c r="L20" s="11" t="s">
        <v>363</v>
      </c>
    </row>
  </sheetData>
  <mergeCells count="3">
    <mergeCell ref="A1:L1"/>
    <mergeCell ref="A2:L2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4748B"/>
  </sheetPr>
  <dimension ref="A1:I20"/>
  <sheetViews>
    <sheetView workbookViewId="0"/>
  </sheetViews>
  <sheetFormatPr defaultRowHeight="15" outlineLevelRow="0" outlineLevelCol="0" x14ac:dyDescent="55"/>
  <cols>
    <col min="1" max="1" width="30" customWidth="1"/>
    <col min="2" max="2" width="4" customWidth="1"/>
    <col min="3" max="3" width="36" customWidth="1"/>
    <col min="4" max="4" width="4" customWidth="1"/>
    <col min="5" max="5" width="32" customWidth="1"/>
    <col min="6" max="6" width="4" customWidth="1"/>
    <col min="7" max="7" width="18" customWidth="1"/>
    <col min="8" max="8" width="16" customWidth="1"/>
    <col min="9" max="9" width="18" customWidth="1"/>
  </cols>
  <sheetData>
    <row r="1" ht="28" customHeight="1" spans="1:9" x14ac:dyDescent="0.25">
      <c r="A1" s="1" t="s">
        <v>364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2" t="s">
        <v>365</v>
      </c>
      <c r="C3" s="22" t="s">
        <v>366</v>
      </c>
      <c r="E3" s="22" t="s">
        <v>367</v>
      </c>
      <c r="G3" s="22" t="s">
        <v>368</v>
      </c>
      <c r="H3" s="22" t="s">
        <v>369</v>
      </c>
      <c r="I3" s="22" t="s">
        <v>370</v>
      </c>
    </row>
    <row r="4" spans="1:9" x14ac:dyDescent="0.25">
      <c r="A4" s="23" t="s">
        <v>196</v>
      </c>
      <c r="C4" s="23" t="s">
        <v>315</v>
      </c>
      <c r="E4" s="23" t="s">
        <v>111</v>
      </c>
      <c r="G4" s="23" t="s">
        <v>371</v>
      </c>
      <c r="H4" s="23">
        <v>26.4</v>
      </c>
      <c r="I4" s="23">
        <v>17.6</v>
      </c>
    </row>
    <row r="5" spans="1:9" x14ac:dyDescent="0.25">
      <c r="A5" s="23" t="s">
        <v>199</v>
      </c>
      <c r="C5" s="23" t="s">
        <v>331</v>
      </c>
      <c r="E5" s="23" t="s">
        <v>372</v>
      </c>
      <c r="G5" s="23" t="s">
        <v>373</v>
      </c>
      <c r="H5" s="23">
        <v>25.2</v>
      </c>
      <c r="I5" s="23">
        <v>16.8</v>
      </c>
    </row>
    <row r="6" spans="1:9" x14ac:dyDescent="0.25">
      <c r="A6" s="23" t="s">
        <v>202</v>
      </c>
      <c r="C6" s="23" t="s">
        <v>268</v>
      </c>
      <c r="E6" s="23" t="s">
        <v>117</v>
      </c>
      <c r="G6" s="23" t="s">
        <v>374</v>
      </c>
      <c r="H6" s="23">
        <v>24</v>
      </c>
      <c r="I6" s="23">
        <v>16</v>
      </c>
    </row>
    <row r="7" spans="1:9" x14ac:dyDescent="0.25">
      <c r="A7" s="23" t="s">
        <v>375</v>
      </c>
      <c r="C7" s="23" t="s">
        <v>285</v>
      </c>
      <c r="E7" s="23" t="s">
        <v>122</v>
      </c>
      <c r="G7" s="23" t="s">
        <v>376</v>
      </c>
      <c r="H7" s="23">
        <v>22.8</v>
      </c>
      <c r="I7" s="23">
        <v>15.2</v>
      </c>
    </row>
    <row r="8" spans="1:9" x14ac:dyDescent="0.25">
      <c r="A8" s="23" t="s">
        <v>377</v>
      </c>
      <c r="C8" s="23" t="s">
        <v>378</v>
      </c>
      <c r="E8" s="23" t="s">
        <v>126</v>
      </c>
      <c r="G8" s="23" t="s">
        <v>379</v>
      </c>
      <c r="H8" s="23">
        <v>21.6</v>
      </c>
      <c r="I8" s="23">
        <v>14.4</v>
      </c>
    </row>
    <row r="9" spans="1:9" x14ac:dyDescent="0.25">
      <c r="A9" s="23" t="s">
        <v>211</v>
      </c>
      <c r="C9" s="23" t="s">
        <v>380</v>
      </c>
      <c r="E9" s="23" t="s">
        <v>131</v>
      </c>
      <c r="G9" s="23" t="s">
        <v>381</v>
      </c>
      <c r="H9" s="23">
        <v>20.4</v>
      </c>
      <c r="I9" s="23">
        <v>13.6</v>
      </c>
    </row>
    <row r="10" spans="1:9" x14ac:dyDescent="0.25">
      <c r="A10" s="23" t="s">
        <v>382</v>
      </c>
      <c r="C10" s="23" t="s">
        <v>275</v>
      </c>
      <c r="E10" s="23" t="s">
        <v>136</v>
      </c>
      <c r="G10" s="23" t="s">
        <v>383</v>
      </c>
      <c r="H10" s="23">
        <v>19.2</v>
      </c>
      <c r="I10" s="23">
        <v>12.8</v>
      </c>
    </row>
    <row r="11" spans="1:9" x14ac:dyDescent="0.25">
      <c r="A11" s="23" t="s">
        <v>384</v>
      </c>
      <c r="C11" s="23" t="s">
        <v>280</v>
      </c>
      <c r="E11" s="23" t="s">
        <v>140</v>
      </c>
      <c r="G11" s="23" t="s">
        <v>385</v>
      </c>
      <c r="H11" s="23">
        <v>18</v>
      </c>
      <c r="I11" s="23">
        <v>12</v>
      </c>
    </row>
    <row r="12" spans="1:9" x14ac:dyDescent="0.25">
      <c r="A12" s="23" t="s">
        <v>386</v>
      </c>
      <c r="C12" s="23" t="s">
        <v>290</v>
      </c>
      <c r="E12" s="23" t="s">
        <v>387</v>
      </c>
      <c r="G12" s="23" t="s">
        <v>388</v>
      </c>
      <c r="H12" s="23">
        <v>16.8</v>
      </c>
      <c r="I12" s="23">
        <v>11.2</v>
      </c>
    </row>
    <row r="13" spans="1:9" x14ac:dyDescent="0.25">
      <c r="A13" s="23" t="s">
        <v>389</v>
      </c>
      <c r="C13" s="23" t="s">
        <v>307</v>
      </c>
      <c r="G13" s="23" t="s">
        <v>390</v>
      </c>
      <c r="H13" s="23">
        <v>15.6</v>
      </c>
      <c r="I13" s="23">
        <v>10.4</v>
      </c>
    </row>
    <row r="14" spans="1:9" x14ac:dyDescent="0.25">
      <c r="A14" s="23" t="s">
        <v>391</v>
      </c>
      <c r="C14" s="23" t="s">
        <v>326</v>
      </c>
      <c r="G14" s="23" t="s">
        <v>392</v>
      </c>
      <c r="H14" s="23">
        <v>14.4</v>
      </c>
      <c r="I14" s="23">
        <v>9.6</v>
      </c>
    </row>
    <row r="15" spans="1:9" x14ac:dyDescent="0.25">
      <c r="A15" s="23" t="s">
        <v>393</v>
      </c>
      <c r="C15" s="23" t="s">
        <v>345</v>
      </c>
      <c r="G15" s="23" t="s">
        <v>394</v>
      </c>
      <c r="H15" s="23">
        <v>13.2</v>
      </c>
      <c r="I15" s="23">
        <v>8.8</v>
      </c>
    </row>
    <row r="16" spans="1:3" x14ac:dyDescent="0.25">
      <c r="A16" s="23" t="s">
        <v>395</v>
      </c>
      <c r="C16" s="23" t="s">
        <v>349</v>
      </c>
    </row>
    <row r="17" spans="1:3" x14ac:dyDescent="0.25">
      <c r="A17" s="23" t="s">
        <v>396</v>
      </c>
      <c r="C17" s="23" t="s">
        <v>353</v>
      </c>
    </row>
    <row r="18" spans="1:3" x14ac:dyDescent="0.25">
      <c r="A18" s="23" t="s">
        <v>397</v>
      </c>
      <c r="C18" s="23" t="s">
        <v>357</v>
      </c>
    </row>
    <row r="19" spans="1:3" x14ac:dyDescent="0.25">
      <c r="A19" s="23" t="s">
        <v>398</v>
      </c>
      <c r="C19" s="23" t="s">
        <v>322</v>
      </c>
    </row>
    <row r="20" spans="3:3" x14ac:dyDescent="0.25">
      <c r="C20" s="23" t="s">
        <v>341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Resumen y Control</vt:lpstr>
      <vt:lpstr>2. Cursos y Planes</vt:lpstr>
      <vt:lpstr>3. Directivos y Tecnicos</vt:lpstr>
      <vt:lpstr>4. Docentes de Aula</vt:lpstr>
      <vt:lpstr>5. Equipo PIE</vt:lpstr>
      <vt:lpstr>6. Asistentes Educacion</vt:lpstr>
      <vt:lpstr>7. Parametros y Tablas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SLEP Valle Diguillín - Sistema de Dotación Escolar</dc:creator>
  <dc:title/>
  <dc:subject/>
  <dc:description/>
  <cp:keywords/>
  <cp:category/>
  <cp:lastModifiedBy>UATP SLEP Valle Diguillín</cp:lastModifiedBy>
  <dcterms:created xsi:type="dcterms:W3CDTF">2026-10-27T23:05:56Z</dcterms:created>
  <dcterms:modified xsi:type="dcterms:W3CDTF">2026-10-27T23:05:56Z</dcterms:modified>
</cp:coreProperties>
</file>